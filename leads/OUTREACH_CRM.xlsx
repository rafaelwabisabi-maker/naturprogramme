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firstSheet="0" activeTab="0"/>
  </bookViews>
  <sheets>
    <sheet sheetId="1" name="Pipeline" state="visible" r:id="rId4"/>
    <sheet sheetId="2" name="Dashboard" state="visible" r:id="rId5"/>
    <sheet sheetId="3" name="Top 10 Sofort" state="visible" r:id="rId6"/>
    <sheet sheetId="4" name="Legende" state="visible" r:id="rId7"/>
  </sheets>
  <definedNames>
    <definedName name="_xlnm._FilterDatabase">Pipeline!$A$1:$S$147</definedName>
  </definedNames>
  <calcPr calcId="171027"/>
</workbook>
</file>

<file path=xl/sharedStrings.xml><?xml version="1.0" encoding="utf-8"?>
<sst xmlns="http://schemas.openxmlformats.org/spreadsheetml/2006/main" count="1230" uniqueCount="658">
  <si>
    <t>Organisation</t>
  </si>
  <si>
    <t>Email</t>
  </si>
  <si>
    <t>Kategorie</t>
  </si>
  <si>
    <t>Ort</t>
  </si>
  <si>
    <t>Tier</t>
  </si>
  <si>
    <t>Typ</t>
  </si>
  <si>
    <t>Aktion</t>
  </si>
  <si>
    <t>Info</t>
  </si>
  <si>
    <t>Warum_Relevant</t>
  </si>
  <si>
    <t>Quelle</t>
  </si>
  <si>
    <t>Status</t>
  </si>
  <si>
    <t>Gesendet_Am</t>
  </si>
  <si>
    <t>Antwort</t>
  </si>
  <si>
    <t>Antwort_Datum</t>
  </si>
  <si>
    <t>Follow_Up_1</t>
  </si>
  <si>
    <t>Follow_Up_2</t>
  </si>
  <si>
    <t>Naechste_Aktion</t>
  </si>
  <si>
    <t>Notizen</t>
  </si>
  <si>
    <t>Naechste_Aktion_Datum</t>
  </si>
  <si>
    <t>Kontaktperson</t>
  </si>
  <si>
    <t>Telefon</t>
  </si>
  <si>
    <t>Kanal</t>
  </si>
  <si>
    <t>Bildungsdirektion Oberoesterreich</t>
  </si>
  <si>
    <t>bd.post@bildung-ooe.gv.at</t>
  </si>
  <si>
    <t>Bildungsbehoerde</t>
  </si>
  <si>
    <t>Linz</t>
  </si>
  <si>
    <t>Tier 1</t>
  </si>
  <si>
    <t>Outreach</t>
  </si>
  <si>
    <t>Zentrale Schulbehoerde OOe, foerdert Schulveranstaltungen (60-150 Euro Zuschuss)</t>
  </si>
  <si>
    <t>Empfehlung durch BD = Tueroeffner zu ALLEN Schulen; Foerderstatus moeglich</t>
  </si>
  <si>
    <t>Naturpaedagogik_Schullandwochen_OOe.xlsx</t>
  </si>
  <si>
    <t>Ausstehend</t>
  </si>
  <si>
    <t>Hotel Sommerhaus Bad Leonfelden</t>
  </si>
  <si>
    <t>office.leonf@studentenwerk.at</t>
  </si>
  <si>
    <t>Schullandwochen-Quartier</t>
  </si>
  <si>
    <t>Bad Leonfelden</t>
  </si>
  <si>
    <t>Modernes Gruppenhotel, Sporthalle, Seminarraeume bis 30 Pers., Vollpension</t>
  </si>
  <si>
    <t>300 Betten = grosse Kapazitaet; explizit Schulreisen; braucht Programmpartner</t>
  </si>
  <si>
    <t>Karlingerhaus</t>
  </si>
  <si>
    <t>office@karlingerhaus.at</t>
  </si>
  <si>
    <t>Koenigswiesen</t>
  </si>
  <si>
    <t>Jugend-/Familiengaestehaus, Hallenbad, Sportplatz, Lagerfeuer, Klimawochen fuer Schulen</t>
  </si>
  <si>
    <t>Explizit Schulklassen + Klimawochen = perfekter Fit fuer Naturpaedagogik</t>
  </si>
  <si>
    <t>Naturfreunde Sporthotel Gruenau</t>
  </si>
  <si>
    <t>office@wimmergreuthgruenau.at</t>
  </si>
  <si>
    <t>Gruenau im Almtal</t>
  </si>
  <si>
    <t>Familienhotel, Schulklassen+Vereine willkommen, Almtal-Naturlage</t>
  </si>
  <si>
    <t>Almtal + Schulklassen-Willkommen = braucht Naturerlebnis-Programme</t>
  </si>
  <si>
    <t>Paedagogische Hochschule OOe</t>
  </si>
  <si>
    <t>office@ph-ooe.at</t>
  </si>
  <si>
    <t>Lehrerausbildung</t>
  </si>
  <si>
    <t>Lehrerausbildung + Fortbildung, Sport/Bewegung/Gesundheit, 6:30-22:00</t>
  </si>
  <si>
    <t>Fortbildungsangebot fuer Lehrer:innen = Multiplikator-Effekt</t>
  </si>
  <si>
    <t>Seminarhof Schleglberg</t>
  </si>
  <si>
    <t>office@seminarhof-schleglberg.at</t>
  </si>
  <si>
    <t>Rottenbach</t>
  </si>
  <si>
    <t>50 Zimmer, 5 Seminarraeume, Wellness, Hausruckviertel, laendlich</t>
  </si>
  <si>
    <t>Grosser Seminarhof im Gruenen; Schulgruppen brauchen Erlebnisprogramme</t>
  </si>
  <si>
    <t>Funiversum / Burg der Begegnung</t>
  </si>
  <si>
    <t>office@funiversum.at</t>
  </si>
  <si>
    <t>Erlebnispaedagogik-Anbieter</t>
  </si>
  <si>
    <t>St. Oswald bei Freistadt</t>
  </si>
  <si>
    <t>Partnerschaft</t>
  </si>
  <si>
    <t>Schulprojekttage, Sportwochen, Bauernhofschule, Teambuilding, Muehlviertel</t>
  </si>
  <si>
    <t>Bietet bereits Naturprogramme an; Partnerschaft fuer spezialisierte Module</t>
  </si>
  <si>
    <t>ISK - Lifecamp / Burg Altpernstein</t>
  </si>
  <si>
    <t>office@isk-austria.at</t>
  </si>
  <si>
    <t>Linz / Micheldorf / Hinterstoder</t>
  </si>
  <si>
    <t>GROESSTER Erlebnis-Anbieter OOe: Burg Altpernstein + Lifecamp Hinterstoder, Projektwochen</t>
  </si>
  <si>
    <t>Koennte Naturpaedagogik als Spezialprogramm-Modul subcontracten; riesige Reichweite</t>
  </si>
  <si>
    <t>Projekttage.org (Verein Freispiel)</t>
  </si>
  <si>
    <t>info@projekttage.org</t>
  </si>
  <si>
    <t>Projektwochen-Plattform</t>
  </si>
  <si>
    <t>Wien (oesterreichweit)</t>
  </si>
  <si>
    <t>Groesster Anbieter betreuter Schulprojekttage/-wochen in AT, auch OOe</t>
  </si>
  <si>
    <t>Als Partner/Referent gelistet werden = direkter Zugang zu hunderten Schulen</t>
  </si>
  <si>
    <t>Waldschule Linz (Land OOe)</t>
  </si>
  <si>
    <t>lfw.post@ooe.gv.at</t>
  </si>
  <si>
    <t>Waldpaedagogik (staatlich)</t>
  </si>
  <si>
    <t>Wilhering</t>
  </si>
  <si>
    <t>Offizielle Waldpaedagogik des Landes OOe, Schulexkursionen, alle Altersstufen</t>
  </si>
  <si>
    <t>Staatliche Waldschule; Partnerschaft/Empfehlung statt Konkurrenz</t>
  </si>
  <si>
    <t>Donau Oberoesterreich Tourismus</t>
  </si>
  <si>
    <t>info@donauregion.at</t>
  </si>
  <si>
    <t>Tourismus-Plattform</t>
  </si>
  <si>
    <t>Registrieren</t>
  </si>
  <si>
    <t>Regionale Tourismus-GmbH, betreibt Schulportal fuer Schulausflug-Buchungen</t>
  </si>
  <si>
    <t>Im Schulportal gelistet werden = Schulen finden Angebote direkt</t>
  </si>
  <si>
    <t>Gruppenhaus.de (OOe-Listings)</t>
  </si>
  <si>
    <t>via Plattform-Formular</t>
  </si>
  <si>
    <t>Unterkunfts-Plattform</t>
  </si>
  <si>
    <t>Deutschland (AT-weit)</t>
  </si>
  <si>
    <t>149 Gruppenhaeuser + 35 Schullandheime in AT gelistet, groesstes Portal</t>
  </si>
  <si>
    <t>Profil erstellen = Schulen aus DE+AT finden Angebot automatisch</t>
  </si>
  <si>
    <t>Teamkiste / Schulprojektwoche.at</t>
  </si>
  <si>
    <t>info@teamkiste.at</t>
  </si>
  <si>
    <t>Online-Buchungsplattform fuer betreute Projektwochen, ex-Freiraum-Team</t>
  </si>
  <si>
    <t>Als Programmpartner registrieren = Schulen finden dich ueber Plattform</t>
  </si>
  <si>
    <t>Bildungshaus Breitenstein</t>
  </si>
  <si>
    <t>office@breitenstein.or.at</t>
  </si>
  <si>
    <t>Bildungshaus</t>
  </si>
  <si>
    <t>Kirchschlag bei Linz</t>
  </si>
  <si>
    <t>Bildungshaus (kirchlich)</t>
  </si>
  <si>
    <t>20 Betten, Wald-Lage, Bogenschiessen+Hochseilgarten, 40J Erfahrung</t>
  </si>
  <si>
    <t>Naturpaedagogik_Prospect_Database_OOe.xlsx</t>
  </si>
  <si>
    <t>Bildungshaus Schloss Puchberg</t>
  </si>
  <si>
    <t>puchberg@dioezese-linz.at</t>
  </si>
  <si>
    <t>Wels</t>
  </si>
  <si>
    <t>Bildungshaus (Dioezese)</t>
  </si>
  <si>
    <t>Renaissance-Schloss, 800 Events/Jahr, 60.000 TN, Familie+Kinder+Paedagogik</t>
  </si>
  <si>
    <t>Bildungsschloss Weinberg</t>
  </si>
  <si>
    <t>schloss-weinberg.post@ooe.gv.at</t>
  </si>
  <si>
    <t>Bildungsschloss</t>
  </si>
  <si>
    <t>Kefermarkt</t>
  </si>
  <si>
    <t>Bildungshaus (Land OOe)</t>
  </si>
  <si>
    <t>36 Zimmer, 10 Seminarraeume, Schulklassen-Fuehrungen, Muehlviertel</t>
  </si>
  <si>
    <t>Bildungsschloss Zell an der Pram</t>
  </si>
  <si>
    <t>schloss-zell.post@ooe.gv.at</t>
  </si>
  <si>
    <t>Zell an der Pram</t>
  </si>
  <si>
    <t>18. Jhd. Schloss, Meisterkurse fuer Jugend, Seminare, Innviertel</t>
  </si>
  <si>
    <t>Europacamp Weissenbach</t>
  </si>
  <si>
    <t>office@europacamp.at</t>
  </si>
  <si>
    <t>Europacamp</t>
  </si>
  <si>
    <t>Steinbach am Attersee</t>
  </si>
  <si>
    <t>Jugendunterkunft (privat)</t>
  </si>
  <si>
    <t>200+ Betten (Hostel+Bungalows+Camping), Seminarraeume, Attersee-Zugang</t>
  </si>
  <si>
    <t>JUFA Hotel Gruenau im Almtal</t>
  </si>
  <si>
    <t>almtal@jufahotels.com</t>
  </si>
  <si>
    <t>JUFA Hotel</t>
  </si>
  <si>
    <t>180+ Betten, modern, Naturschutzgebiet, Familien/Schulgruppen/Seminare</t>
  </si>
  <si>
    <t>JUFA Hotel Spital am Pyhrn</t>
  </si>
  <si>
    <t>spitalpyhrn@jufahotels.com</t>
  </si>
  <si>
    <t>Spital am Pyhrn</t>
  </si>
  <si>
    <t>150+ Betten, barockes Kloster, Familien/Gruppen/Seminare, ganzjaehrig</t>
  </si>
  <si>
    <t>Jugend- und Seminarhaus Obernberg</t>
  </si>
  <si>
    <t>info@jugendhaus-obernberg.at</t>
  </si>
  <si>
    <t>Seminarhaus</t>
  </si>
  <si>
    <t>Obernberg am Inn</t>
  </si>
  <si>
    <t>Seminarbetrieb mit Jugendgruppen, mehrtaegige Formate</t>
  </si>
  <si>
    <t>JugendService OOe (Land OOe)</t>
  </si>
  <si>
    <t>jugendservice@ooe.gv.at</t>
  </si>
  <si>
    <t>Landesstelle</t>
  </si>
  <si>
    <t>Linz (14 Standorte)</t>
  </si>
  <si>
    <t>Ferienprogramm-Betreiber</t>
  </si>
  <si>
    <t>Staatlicher Jugenddienst, 14 Standorte, Abenteuer-/Technik-/Sportcamps 8-21J</t>
  </si>
  <si>
    <t>Jugendgaestehaus Bad Ischl</t>
  </si>
  <si>
    <t>badischl@myhostel.at</t>
  </si>
  <si>
    <t>Junge Hotels</t>
  </si>
  <si>
    <t>Bad Ischl</t>
  </si>
  <si>
    <t>Jugendunterkunft (Verband)</t>
  </si>
  <si>
    <t>115 Betten, Schwimmbaeder gegenueber, barrierefrei, Salzkammergut</t>
  </si>
  <si>
    <t>Jugendgaestehaus Linz</t>
  </si>
  <si>
    <t>linz@myhostel.at</t>
  </si>
  <si>
    <t>280 Betten, zentral mit Gruen, barrierefrei, groesste JH in OOe</t>
  </si>
  <si>
    <t>Jutel Hinterstoder</t>
  </si>
  <si>
    <t>hinterstoder@jutel.at</t>
  </si>
  <si>
    <t>Jutel</t>
  </si>
  <si>
    <t>Hinterstoder</t>
  </si>
  <si>
    <t>99 Betten, an der Steyr, modern, barrierefrei, ganzjaehrig</t>
  </si>
  <si>
    <t>Jutel Obertraun</t>
  </si>
  <si>
    <t>obertraun@jutel.at</t>
  </si>
  <si>
    <t>Obertraun</t>
  </si>
  <si>
    <t>113 Betten, Seminarraeume, Spielplaetze, Dachstein-Salzkammergut</t>
  </si>
  <si>
    <t>Kinderfreunde OOe (Ferienprogramme)</t>
  </si>
  <si>
    <t>ferien@kinderfreunde.cc</t>
  </si>
  <si>
    <t>Familienorganisation</t>
  </si>
  <si>
    <t>OOe-weit</t>
  </si>
  <si>
    <t>Feriencamps, Ferien im Betrieb, Wassercamps, Actioncamps, regional</t>
  </si>
  <si>
    <t>Landes-Jugendhaus Aigen</t>
  </si>
  <si>
    <t>ljh-aigen.post@ooe.gv.at</t>
  </si>
  <si>
    <t>Landes-Jugendhaus</t>
  </si>
  <si>
    <t>Aigen-Schlaegl</t>
  </si>
  <si>
    <t>Jugendunterkunft (Land OOe)</t>
  </si>
  <si>
    <t>80 Betten, ganzjaehrig, Boehmerwald-Suedhang, Adalbert-Stifter-Jugendherberge</t>
  </si>
  <si>
    <t>Landes-Jugendhaus Edtbauernalm</t>
  </si>
  <si>
    <t>ljh-hinterstoder.post@ooe.gv.at</t>
  </si>
  <si>
    <t>1.365m, 76 Betten, 150m2 Seminarraum, Sportplatz, Nationalpark Kalkalpen</t>
  </si>
  <si>
    <t>Landes-Jugendhaus Losenstein</t>
  </si>
  <si>
    <t>ljh-losenstein.post@ooe.gv.at</t>
  </si>
  <si>
    <t>Losenstein</t>
  </si>
  <si>
    <t>Renoviert 2004, Seminarraum, Tor zum Nationalpark Kalkalpen, Vollpension</t>
  </si>
  <si>
    <t>Landes-Jugendhaus Wurzeralm</t>
  </si>
  <si>
    <t>ljh-spital.post@ooe.gv.at</t>
  </si>
  <si>
    <t>1.400m, 80 Betten, nur per Seilbahn, Sauna, Sportplatz, Kletterwand</t>
  </si>
  <si>
    <t>Lindenhof - Das Jugendparadies</t>
  </si>
  <si>
    <t>office@lindenhof.at</t>
  </si>
  <si>
    <t>Kinder-/Jugendparadies</t>
  </si>
  <si>
    <t>190 Betten, Spezialist fuer Schulveranstaltungen, Projektwochen, Sportwochen</t>
  </si>
  <si>
    <t>Nationalpark Kalkalpen</t>
  </si>
  <si>
    <t>office@kalkalpen.at</t>
  </si>
  <si>
    <t>Nationalpark</t>
  </si>
  <si>
    <t>Molln/Region</t>
  </si>
  <si>
    <t>Naturpark/Umweltbildung</t>
  </si>
  <si>
    <t>Einziger Kalkstein-Nationalpark AT, WildnisCamp, Rangerprogramme, Schulprogramme</t>
  </si>
  <si>
    <t>Naturpark Attersee-Traunsee</t>
  </si>
  <si>
    <t>naturpark@attersee-traunsee.at</t>
  </si>
  <si>
    <t>Naturpark</t>
  </si>
  <si>
    <t>Groesster Naturpark OOe, Seen+Berge, DarkSky Park, Schulprogramme</t>
  </si>
  <si>
    <t>Naturpark Bauernland</t>
  </si>
  <si>
    <t>info@naturpark-bauernland.at</t>
  </si>
  <si>
    <t>Mondsee</t>
  </si>
  <si>
    <t>Juengster Naturpark OOe, Irrsee/Mondsee/Attersee, Landwirtschaft+Natur</t>
  </si>
  <si>
    <t>Naturpark Muehlviertel</t>
  </si>
  <si>
    <t>info@naturpark-muehlviertel.at</t>
  </si>
  <si>
    <t>Rechberg</t>
  </si>
  <si>
    <t>Magerwiesen, Granitbloecke, Naturpark des Jahres 2019, gef. Touren 12+</t>
  </si>
  <si>
    <t>Naturpark Obst-Huegel-Land</t>
  </si>
  <si>
    <t>info@obsthuegelland.at</t>
  </si>
  <si>
    <t>St. Marienkirchen</t>
  </si>
  <si>
    <t>Streuobstwiesen, Schartner Kirschen, Insekten-Workshops fuer Schulen</t>
  </si>
  <si>
    <t>OOe Familienbund</t>
  </si>
  <si>
    <t>office@ooe.familienbund.at</t>
  </si>
  <si>
    <t>Linz (150+ Standorte)</t>
  </si>
  <si>
    <t>150+ Standorte, ~4.000 Kinder/Jahr, Ferienbetreuung, Gemeinde-Konzepte</t>
  </si>
  <si>
    <t>Stadt Linz - Kinder- und Jugendbuero</t>
  </si>
  <si>
    <t>jugend@mag.linz.at</t>
  </si>
  <si>
    <t>Gemeinde</t>
  </si>
  <si>
    <t>Kommunales Ferienprogramm</t>
  </si>
  <si>
    <t>Aktiv-Tage Sommerprogramm, Kurse+Workshops+Exkursionen, 6-15J</t>
  </si>
  <si>
    <t>Stadt Wels - Ferienprogramm</t>
  </si>
  <si>
    <t>ferienprogramm@wels.gv.at</t>
  </si>
  <si>
    <t>Sommerferienbetreuung, Semesterferien, Weihnachten, 5 Hortstandorte</t>
  </si>
  <si>
    <t>Stift Reichersberg Bildungszentrum</t>
  </si>
  <si>
    <t>info@stift-reichersberg.at</t>
  </si>
  <si>
    <t>Bildungszentrum</t>
  </si>
  <si>
    <t>Reichersberg</t>
  </si>
  <si>
    <t>Bildungshaus (Kloster)</t>
  </si>
  <si>
    <t>51 Gaeste, 57 Kurse/Jahr, Schnitzen/Kalligrafie/Meditation, Augustiner</t>
  </si>
  <si>
    <t>Stift Schlaegl Seminarzentrum</t>
  </si>
  <si>
    <t>seminar@stift-schlaegl.at</t>
  </si>
  <si>
    <t>Seminarzentrum</t>
  </si>
  <si>
    <t>4 Seminarraeume, 37 Betten, Sport+Bewegung, Kinderspielplatz, Muehlviertel</t>
  </si>
  <si>
    <t>Stift Schlierbach Bildungszentrum</t>
  </si>
  <si>
    <t>bildungszentrum@stift-schlierbach.at</t>
  </si>
  <si>
    <t>Schlierbach</t>
  </si>
  <si>
    <t>Zisterzienser seit 1355, Kreativkurse, explizit Schulklassen+Jugendgruppen</t>
  </si>
  <si>
    <t>Youth Hostel Mondsee</t>
  </si>
  <si>
    <t>mondsee@myhostel.at</t>
  </si>
  <si>
    <t>80 Betten, Seminarraeume, Fussdistanz zum Mondsee, Familienraeume</t>
  </si>
  <si>
    <t>Youth Hostel Steyr</t>
  </si>
  <si>
    <t>jugendherberge@studentenwohnheim-steyr.at</t>
  </si>
  <si>
    <t>Steyr</t>
  </si>
  <si>
    <t>350+ Betten, groesster Seminarbetrieb, Nationalpark-Naehe</t>
  </si>
  <si>
    <t>Almtalerhaus (OeAV)</t>
  </si>
  <si>
    <t>servus@almkinder.at</t>
  </si>
  <si>
    <t>Tier 2</t>
  </si>
  <si>
    <t>OeAV-Huette, Spielplatz, Kletterwand, Trampolin, Mai-September</t>
  </si>
  <si>
    <t>Kleine aber feine Naturunterkunft; Almtal ideal fuer Waldpaedagogik</t>
  </si>
  <si>
    <t>Seminarhaus Auf der Gugl</t>
  </si>
  <si>
    <t>ghg@lk-ooe.at</t>
  </si>
  <si>
    <t>Modernes Seminarhaus der LK OOe, 16 Raeume, zentral in Linz</t>
  </si>
  <si>
    <t>Grosse Seminarinfrastruktur; Naturpaedagogik als Programmpunkt moeglich</t>
  </si>
  <si>
    <t>Cool Tours</t>
  </si>
  <si>
    <t>office@cooltours.at</t>
  </si>
  <si>
    <t>Projektwochen-Vermittler</t>
  </si>
  <si>
    <t>Graz (oesterreichweit)</t>
  </si>
  <si>
    <t>Sprachreisen, Kulturtrips, regionale Projekttage mit nachhaltigen Aktivitaeten</t>
  </si>
  <si>
    <t>Regionale Projekttage in OOe = Naturpaedagogik als Programmbaustein</t>
  </si>
  <si>
    <t>Projektwochen.at (Verein Lind Horn)</t>
  </si>
  <si>
    <t>info@projektwochen.at</t>
  </si>
  <si>
    <t>Lackenhof (oesterreichweit)</t>
  </si>
  <si>
    <t>Verein zur Organisation von Projektwochen fuer Schulklassen</t>
  </si>
  <si>
    <t>Kontakt aufnehmen fuer Naturpaedagogik-Modulangebot</t>
  </si>
  <si>
    <t>Sportwochen.org (Servicestelle)</t>
  </si>
  <si>
    <t>via Plattform</t>
  </si>
  <si>
    <t>Schulsportwochen-Portal</t>
  </si>
  <si>
    <t>Zentrales Portal fuer Schulsportwochen, BMBWF + WKOe + Sport Austria</t>
  </si>
  <si>
    <t>Als Zusatzprogramm-Anbieter bei Sportwochen gelistet werden</t>
  </si>
  <si>
    <t>Bildungshaus Greisinghof</t>
  </si>
  <si>
    <t>bildungshaus@greisinghof.at</t>
  </si>
  <si>
    <t>Tragwein</t>
  </si>
  <si>
    <t>24 Zimmer, Marianisten+Dioezese, ganzjaehrig, Seminarinfrastruktur</t>
  </si>
  <si>
    <t>Bildungszentrum St. Franziskus</t>
  </si>
  <si>
    <t>franziskushaus@dioezese-linz.at</t>
  </si>
  <si>
    <t>Ried im Innkreis</t>
  </si>
  <si>
    <t>Dioezesanes BZ, ext. Gruppen willkommen, Jugendbuero Ried im selben Haus</t>
  </si>
  <si>
    <t>Jugendrotkreuz OOe</t>
  </si>
  <si>
    <t>jrk@o.roteskreuz.at</t>
  </si>
  <si>
    <t>Jugendorganisation</t>
  </si>
  <si>
    <t>Linz (80+ Ortsgruppen)</t>
  </si>
  <si>
    <t>80+ Ortsgruppen in OOe, 9.000+ Jugendliche, Fuehrungstraining, 6-18J</t>
  </si>
  <si>
    <t>Katholische Jugend OOe</t>
  </si>
  <si>
    <t>kj@dioezese-linz.at</t>
  </si>
  <si>
    <t>Kirchl. Jugendorg.</t>
  </si>
  <si>
    <t>Linz (dioezesanweit)</t>
  </si>
  <si>
    <t>Jugendarbeit in Pfarren, Lager, Zielgruppe 14-19, dioezesanweit</t>
  </si>
  <si>
    <t>OOe Hilfswerk</t>
  </si>
  <si>
    <t>office@ooe.hilfswerk.at</t>
  </si>
  <si>
    <t>Sozialtraeger</t>
  </si>
  <si>
    <t>Linz (OOe-weit)</t>
  </si>
  <si>
    <t>Hort-/Ferienbetreuung</t>
  </si>
  <si>
    <t>Horte, Nachmittagsbetreuung 6-14J, Ferienbetreuung, institutionell</t>
  </si>
  <si>
    <t>VHS Linz / Wissensturm</t>
  </si>
  <si>
    <t>wissensturm@mag.linz.at</t>
  </si>
  <si>
    <t>Volkshochschule</t>
  </si>
  <si>
    <t>Erwachsenenbildung</t>
  </si>
  <si>
    <t>5.000+ Kurse/Jahr, Natur-/Outdoor-/Familienkurse, groesste VHS OOe</t>
  </si>
  <si>
    <t>VHS Oberoesterreich (Zentrale)</t>
  </si>
  <si>
    <t>service@vhsooe.at</t>
  </si>
  <si>
    <t>100+ Gemeinden, 5.000 Kurse/Jahr, Netzwerk fuer Programmvermittlung</t>
  </si>
  <si>
    <t>Bildungshaus Stift Zwettl</t>
  </si>
  <si>
    <t>bildungshaus@stift-zwettl.at</t>
  </si>
  <si>
    <t>Zwettl</t>
  </si>
  <si>
    <t>Zisterzienser seit 1138, Seminare, Meditation, Umwelt, Kreativitaet, Gruppen</t>
  </si>
  <si>
    <t>Naturpaedagogik_Grenzregionen.xlsx</t>
  </si>
  <si>
    <t>DJH Jugendherberge Haidmuehle</t>
  </si>
  <si>
    <t>haidmuehle@jugendherberge.de</t>
  </si>
  <si>
    <t>Jugendherberge</t>
  </si>
  <si>
    <t>Haidmuehle</t>
  </si>
  <si>
    <t>120 Betten, Dreilaendereck AT-DE-CZ, Schullandheim, Natur+Wintersport</t>
  </si>
  <si>
    <t>Naturpaedagogik_Extended_1h20_1h50.xlsx</t>
  </si>
  <si>
    <t>DJH Jugendherberge Passau</t>
  </si>
  <si>
    <t>passau@jugendherberge.de</t>
  </si>
  <si>
    <t>Passau</t>
  </si>
  <si>
    <t>129 Betten, Kulturjugendherberge, 8.500 Gaeste/Jahr, Workshops, Kraeuterpaed.</t>
  </si>
  <si>
    <t>GEA Akademie Schrems</t>
  </si>
  <si>
    <t>akademie@gea.at</t>
  </si>
  <si>
    <t>Schrems</t>
  </si>
  <si>
    <t>Seminarzentrum, Kurse+Bildungsprogramme, Gruppenunterkuenfte</t>
  </si>
  <si>
    <t>Geistliches Zentrum Embach</t>
  </si>
  <si>
    <t>info@geistliches-zentrum.at</t>
  </si>
  <si>
    <t>Bildungshaus/Geistl. Zentrum</t>
  </si>
  <si>
    <t>Embach/Lend</t>
  </si>
  <si>
    <t>85 Zimmer, Vortragssaal (100 Pers.), Seminarraeume, Gruppenarbeit, Pinzgau</t>
  </si>
  <si>
    <t>Gemeinde Iggensbach - Ferienprogramm</t>
  </si>
  <si>
    <t>poststelle@iggensbach.bayern.de</t>
  </si>
  <si>
    <t>Ferienpass Gemeinde</t>
  </si>
  <si>
    <t>Iggensbach</t>
  </si>
  <si>
    <t>Kinderferienprogramm, Bayerischer Wald, Gemeinde-Kooperation mit Vereinen</t>
  </si>
  <si>
    <t>Hanneshof Flachau</t>
  </si>
  <si>
    <t>info@hanneshof.at</t>
  </si>
  <si>
    <t>Schullandwochen-Spezialist</t>
  </si>
  <si>
    <t>Flachau</t>
  </si>
  <si>
    <t>Jugend-/Familienhotel, Sporthalle, Trampolin, Schulwochen-Spezialist</t>
  </si>
  <si>
    <t>Haus der Jugend Passau (Bistum)</t>
  </si>
  <si>
    <t>jugendhaeuser@bistum-passau.de</t>
  </si>
  <si>
    <t>Jugendhaus (kirchlich)</t>
  </si>
  <si>
    <t>102 Betten, 30 Zimmer, Seminarraeume, Schulklassen+Jugendgruppen, Veste Oberhaus</t>
  </si>
  <si>
    <t>JUFA Hotel Eisenerz</t>
  </si>
  <si>
    <t>eisenerz@jufa.eu</t>
  </si>
  <si>
    <t>Eisenerz</t>
  </si>
  <si>
    <t>Im Erzberg-Gebiet, Outdooraktivitaeten, Schulgruppen, Seminarraeume</t>
  </si>
  <si>
    <t>JUFA Hotel Salzburg City</t>
  </si>
  <si>
    <t>salzburg@jufa.eu</t>
  </si>
  <si>
    <t>Salzburg Stadt</t>
  </si>
  <si>
    <t>4-Sterne, 400 Pers. Kapazitaet, Seminarhotel, Kids Club, 2 Min. Altstadt</t>
  </si>
  <si>
    <t>JUFA Hotel Schloss Roethelstein Admont</t>
  </si>
  <si>
    <t>admont@jufa.eu</t>
  </si>
  <si>
    <t>Admont</t>
  </si>
  <si>
    <t>Schloss-Hotel am Nationalpark Gesaeuse, Eroeffnung 2026, Schulwochen+Seminare</t>
  </si>
  <si>
    <t>Jugendbildungsstaette Waldmuenchen</t>
  </si>
  <si>
    <t>office@jugendbildungsstaette.org</t>
  </si>
  <si>
    <t>Jugendbildungsstaette</t>
  </si>
  <si>
    <t>Waldmuenchen</t>
  </si>
  <si>
    <t>Erlebnis- und Umweltpaedagogik, Schulklassen, Seminarraeume, 100+ Betten</t>
  </si>
  <si>
    <t>Jugendgaestehaus Franzen</t>
  </si>
  <si>
    <t>gemeinde@poella.at</t>
  </si>
  <si>
    <t>Poella/Franzen</t>
  </si>
  <si>
    <t>Ehem. Schule als Gruppenhaus, bis 50 Pers., guenstig, Schulwochen, Natur pur</t>
  </si>
  <si>
    <t>Jugendgaestehaus Sallingstadt</t>
  </si>
  <si>
    <t>jugendgaestehaus@sallingstadt.net</t>
  </si>
  <si>
    <t>Schweiggers</t>
  </si>
  <si>
    <t>30 Jahre Erfahrung, betreute Schulwochen, Gruppenaktivitaeten, Projektwochen</t>
  </si>
  <si>
    <t>Jugendgaestehaus Steiner</t>
  </si>
  <si>
    <t>info@jgh-steiner.com</t>
  </si>
  <si>
    <t>Eben im Pongau</t>
  </si>
  <si>
    <t>Familienbetrieb, 4500m2 Gelaende, Schulwochen, Gruppenaktivitaeten, nahe Ski Amade</t>
  </si>
  <si>
    <t>Junges Hotel Bad Grosspertholz</t>
  </si>
  <si>
    <t>badgrosspertholz@noejhw.at</t>
  </si>
  <si>
    <t>Bad Grosspertholz</t>
  </si>
  <si>
    <t>55 Betten, Naturpark Nordwald, Apr-Okt, Bewegung in Natur</t>
  </si>
  <si>
    <t>Junges Hotel Drosendorf</t>
  </si>
  <si>
    <t>drosendorf@noejhw.at</t>
  </si>
  <si>
    <t>Drosendorf</t>
  </si>
  <si>
    <t>Mittelalterstadtmauer, Schullandwochen, Gruppenunterkuenfte, Thayatal-Naehe</t>
  </si>
  <si>
    <t>Junges Hotel Eduard-Heinrich-Haus</t>
  </si>
  <si>
    <t>heinrichhaus@hostel-salzburg.at</t>
  </si>
  <si>
    <t>138 Betten, ganzjaehrig, Seminarraeume, Schulgruppen+Familien</t>
  </si>
  <si>
    <t>Junges Hotel Obertrum am See</t>
  </si>
  <si>
    <t>office@hostel-obertrum.at</t>
  </si>
  <si>
    <t>Obertrum am See</t>
  </si>
  <si>
    <t>244 Betten, See-Lage, Seminarraum, Sportplaetze, Schulwochen</t>
  </si>
  <si>
    <t>Junges Hotel Wals-Siezenheim</t>
  </si>
  <si>
    <t>wals@hostel-salzburg.at</t>
  </si>
  <si>
    <t>Wals</t>
  </si>
  <si>
    <t>156 Betten, Sommer+Ferien, nahe Salzburg, Schulgruppen</t>
  </si>
  <si>
    <t>Kolping Tagungshaus Bayerischer Wald</t>
  </si>
  <si>
    <t>info@haus-bayerischer-wald.de</t>
  </si>
  <si>
    <t>Tagungshaus/Seminarhaus</t>
  </si>
  <si>
    <t>Lam</t>
  </si>
  <si>
    <t>190 Betten, 5 Tagungsraeume, Jugendcenter, Mini-Club, Oeko-Region Lamer Winkel</t>
  </si>
  <si>
    <t>Kreisjugendring Regen</t>
  </si>
  <si>
    <t>post@kjr-regen.de</t>
  </si>
  <si>
    <t>Kreisjugendring</t>
  </si>
  <si>
    <t>Viechtach</t>
  </si>
  <si>
    <t>Oeffentl.-rechtl. Koerperschaft, Jugendbildung, Freizeit, Praevention, Bayerischer Wald</t>
  </si>
  <si>
    <t>Landjugend Niederoesterreich</t>
  </si>
  <si>
    <t>noe@landjugend.at</t>
  </si>
  <si>
    <t>St. Poelten</t>
  </si>
  <si>
    <t>Laendliche Jugendarbeit NOe, Bildungsprogramme, Camps, Schulungen, Waldviertel-Bezirke</t>
  </si>
  <si>
    <t>Landjugend Salzburg</t>
  </si>
  <si>
    <t>landjugend@lk-salzburg.at</t>
  </si>
  <si>
    <t>Salzburg</t>
  </si>
  <si>
    <t>Groesste Jugendorg. Salzburgs, 68 Bezirksvereine, Bildungsprogramme, Camps, Veranstaltungen</t>
  </si>
  <si>
    <t>Landratsamt Rottal-Inn Jugendamt</t>
  </si>
  <si>
    <t>jugendamt@rottal-inn.de</t>
  </si>
  <si>
    <t>Ferienpass Gemeinde/Landkreis</t>
  </si>
  <si>
    <t>Pfarrkirchen</t>
  </si>
  <si>
    <t>Landkreis-Ferienprogramm, Naturtage mit BUND, mobiles Spielprogramm 14 Gemeinden, 350+ Kinder</t>
  </si>
  <si>
    <t>Marktgemeinde Bad Hofgastein - Ferienprogramm</t>
  </si>
  <si>
    <t>marktgemeinde@bad-hofgastein.salzburg.at</t>
  </si>
  <si>
    <t>Bad Hofgastein</t>
  </si>
  <si>
    <t>Ferienkalender+Ferienbetreuung, Volksschule, Gasteinertal, 6+ Jahre</t>
  </si>
  <si>
    <t>Naturhotel Schloss Kassegg</t>
  </si>
  <si>
    <t>office@hotel-kassegg.at</t>
  </si>
  <si>
    <t>Schullandheim/Naturhotel</t>
  </si>
  <si>
    <t>St. Gallen (Stmk)</t>
  </si>
  <si>
    <t>Schulprojekttage 3-5 Tage, NP-Ranger-Programme, Natur+Geologie, nahe Gesaeuse</t>
  </si>
  <si>
    <t>NaturparkResort Alte Schule</t>
  </si>
  <si>
    <t>naturparkresort@eisenwurzen.com</t>
  </si>
  <si>
    <t>Schullandheim/Gruppenhaus</t>
  </si>
  <si>
    <t>Hieflau</t>
  </si>
  <si>
    <t>Umgebaute Schule, 4 Apartments, Gruppenunterkuenfte, am NP Gesaeuse+Eisenwurzen</t>
  </si>
  <si>
    <t>St. Virgil Salzburg</t>
  </si>
  <si>
    <t>office@virgil.at</t>
  </si>
  <si>
    <t>Erzdioezese-Bildungszentrum, 4 Saele (400 Pers.), 10 Seminarraeume, Hotel</t>
  </si>
  <si>
    <t>Stadtgemeinde Eisenerz - Ferienpass</t>
  </si>
  <si>
    <t>gde@eisenerz.at</t>
  </si>
  <si>
    <t>30 Jahre Ferienpass, 60+ Events, 39 Veranstalter, 1389 Teilnehmer/Jahr, Sport+Kreativ+Natur</t>
  </si>
  <si>
    <t>Stift Geras - Akademie Geras</t>
  </si>
  <si>
    <t>info@akademiegeras.at</t>
  </si>
  <si>
    <t>Geras</t>
  </si>
  <si>
    <t>Praemonstratenser-Stift, Natur-Bildung, Kraeuter+Ernaehrung, Seminarraeume, Gaestezimmer</t>
  </si>
  <si>
    <t>Youth Hostel Neu Nagelberg</t>
  </si>
  <si>
    <t>office.3871@hostel.or.at</t>
  </si>
  <si>
    <t>Neu Nagelberg</t>
  </si>
  <si>
    <t>37 Betten, idyllisch am Badeteich, Familien+Schulen+Gruppen, Naturnaehe</t>
  </si>
  <si>
    <t>Biobauernhof Hipp-Bruckner</t>
  </si>
  <si>
    <t>office@biobauer-bruckner.at</t>
  </si>
  <si>
    <t>Bauernhof-Paedagogik</t>
  </si>
  <si>
    <t>Karlstift</t>
  </si>
  <si>
    <t>Schule am Bauernhof, 850m Seehoehe, Tiere+Felder+Wald, Schulklassen</t>
  </si>
  <si>
    <t>Freiluftleben</t>
  </si>
  <si>
    <t>info@freiluftleben.at</t>
  </si>
  <si>
    <t>Outdoor-Paedagogik</t>
  </si>
  <si>
    <t>Netzwerk freiberufl. Bergfuehrer+Paedagogen, Outdoor-Programme, Teambuilding</t>
  </si>
  <si>
    <t>Haus am Strom (Umweltstation)</t>
  </si>
  <si>
    <t>info@hausamstrom.de</t>
  </si>
  <si>
    <t>Umweltbildungszentrum</t>
  </si>
  <si>
    <t>Untergriesbach/Jochenstein</t>
  </si>
  <si>
    <t>Landkreis-Umweltstation, Donauoekologie, VR-Ausstellung, Schulprogramme</t>
  </si>
  <si>
    <t>Haus der Natur Salzburg</t>
  </si>
  <si>
    <t>office@hausdernatur.at</t>
  </si>
  <si>
    <t>Museum/Umweltbildung</t>
  </si>
  <si>
    <t>Naturkundemuseum + Bildungszentrum, Workshops, Exkursionen, Auenwerkstatt</t>
  </si>
  <si>
    <t>Haus zur Wildnis</t>
  </si>
  <si>
    <t>hzw@npv-bw.bayern.de</t>
  </si>
  <si>
    <t>Ludwigsthal</t>
  </si>
  <si>
    <t>NP-Besucherzentrum, interaktive Ausstellungen, Wildgehege, Umweltbildung</t>
  </si>
  <si>
    <t>Kletterpark Salzburg (Waldbad Anif)</t>
  </si>
  <si>
    <t>office@kletterpark-salzburg.at</t>
  </si>
  <si>
    <t>Erlebnispaedagogik</t>
  </si>
  <si>
    <t>Anif</t>
  </si>
  <si>
    <t>Hochseilgarten, Erlebnispaed. Programme, Schulpreise ab 24 Euro/Schueler</t>
  </si>
  <si>
    <t>Mostviertel Tourismus - Schullandwochen</t>
  </si>
  <si>
    <t>info@mostviertel.at</t>
  </si>
  <si>
    <t>Plattform/Schullandwochen</t>
  </si>
  <si>
    <t>Scheibbs</t>
  </si>
  <si>
    <t>Buchungsplattform Schullandwochen Mostviertel, verschiedene Unterkuenfte+Programme</t>
  </si>
  <si>
    <t>Nationalpark Bayerischer Wald</t>
  </si>
  <si>
    <t>poststelle@npv-bw.bayern.de</t>
  </si>
  <si>
    <t>Nationalpark/Umweltbildung</t>
  </si>
  <si>
    <t>Grafenau</t>
  </si>
  <si>
    <t>Aeltester NP Deutschlands, Waldoekologie, Junior-Ranger, Schulklassenprogramme</t>
  </si>
  <si>
    <t>Nationalpark Gesaeuse</t>
  </si>
  <si>
    <t>info@nationalpark-gesaeuse.at</t>
  </si>
  <si>
    <t>Weng im Gesaeuse</t>
  </si>
  <si>
    <t>UNESCO Global Geopark, Schul-/Jugendprogramme, Nationalpark-Ranger, Wildtier-Beobachtung</t>
  </si>
  <si>
    <t>Nationalpark Hohe Tauern (Salzburg)</t>
  </si>
  <si>
    <t>nationalparkrat@salzburg.gv.at</t>
  </si>
  <si>
    <t>Mittersill</t>
  </si>
  <si>
    <t>Groesster NP Mitteleuropas, Rangerprogramme, Klimaschule, Science Center Mittersill</t>
  </si>
  <si>
    <t>Nationalpark Thayatal</t>
  </si>
  <si>
    <t>office@np-thayatal.at</t>
  </si>
  <si>
    <t>Hardegg</t>
  </si>
  <si>
    <t>Wildkatzen-Erlebnis, Ranger-Touren, Schulprogramme, kleinste Stadt Oesterreichs</t>
  </si>
  <si>
    <t>Naturpark Blockheide Gmuend</t>
  </si>
  <si>
    <t>blockheide@gmuend.at</t>
  </si>
  <si>
    <t>Gmuend</t>
  </si>
  <si>
    <t>Granitformation-Naturpark, gef. Wanderungen, Schulprogramme, Steinwelten</t>
  </si>
  <si>
    <t>Naturpark Steirische Eisenwurzen</t>
  </si>
  <si>
    <t>naturpark@eisenwurzen.com</t>
  </si>
  <si>
    <t>UNESCO Global Geopark, GeoPfad, WasserWelten, Schulprogramme Natur+Geologie</t>
  </si>
  <si>
    <t>Oekologisches Zentrum Stelzlhof</t>
  </si>
  <si>
    <t>info@stelzlhof.de</t>
  </si>
  <si>
    <t>Bund Naturschutz, Umweltbildung.Bayern, Hecken/Streuobst/Insekten/Wald/Wasser</t>
  </si>
  <si>
    <t>Salzburg Zoo - Zooschule</t>
  </si>
  <si>
    <t>erlebnis@salzburg-zoo.at</t>
  </si>
  <si>
    <t>Zoo/Umweltbildung</t>
  </si>
  <si>
    <t>Zooschule, gef. Touren, Arbeitsblatter, Schulprogramme 6-14J, 365 Tage offen</t>
  </si>
  <si>
    <t>Stift Admont - Museumswerkstatt</t>
  </si>
  <si>
    <t>museumswerkstatt@stiftadmont.at</t>
  </si>
  <si>
    <t>Kloster/Stift + Bildung</t>
  </si>
  <si>
    <t>Aeltestes Stift Steiermarks, Jugend-Workshops (6-14J), Museumswerkstatt, am NP Gesaeuse</t>
  </si>
  <si>
    <t>Wildniscamp am Falkenstein</t>
  </si>
  <si>
    <t>wcf@npv-bw.bayern.de</t>
  </si>
  <si>
    <t>Lindberg</t>
  </si>
  <si>
    <t>Themenuebernachtung (Baumhaus, Erdhoehle, Waldzelt), Wildnispaed., Schulklassen</t>
  </si>
  <si>
    <t>Young Austria Erlebnisgaestehaeuser</t>
  </si>
  <si>
    <t>office@youngaustria.com</t>
  </si>
  <si>
    <t>Schullandwochen-Betreiber</t>
  </si>
  <si>
    <t>Betreiber mehrerer Jugendhotels, Sommer-Sportwochen, Schulwochen, professionelle Programme</t>
  </si>
  <si>
    <t>Waldviertel Tourismus (Jugendtourismus)</t>
  </si>
  <si>
    <t>info@jugendtourismus.at</t>
  </si>
  <si>
    <t>Zentrale Buchungsstelle fuer Schulwochen im Waldviertel, 21 Mitglieder</t>
  </si>
  <si>
    <t>ferienspass@vhsooe.at</t>
  </si>
  <si>
    <t>Dachprogramm der Arbeiterkammer: 16 Bezirke, kostenlos fuer AK-Kinder, 2 Wochen Aug.</t>
  </si>
  <si>
    <t>Naturpaedagogik_Ferienpass_Gemeinden_OOe.xlsx</t>
  </si>
  <si>
    <t>gemeinde@hellmonsoedt.ooe.gv.at</t>
  </si>
  <si>
    <t>Bogenschiessen, Sport, Jugendzentrum-Events, lokale Vereine</t>
  </si>
  <si>
    <t>gemeinde@gramastetten.ooe.gv.at</t>
  </si>
  <si>
    <t>Marktgemeinde Ferienprogramm, lokale Vereine und Betriebe</t>
  </si>
  <si>
    <t>gemeinde@kirchschlag.ooe.gv.at</t>
  </si>
  <si>
    <t>Vielfaeltiges Programm mit Vereinen und Institutionen, alle Altersgruppen</t>
  </si>
  <si>
    <t>gemeinde@walding.ooe.gv.at</t>
  </si>
  <si>
    <t>Gemeinde-Ferienspass mit lokalen Vereinen</t>
  </si>
  <si>
    <t>gemeinde@altenberg.ooe.gv.at</t>
  </si>
  <si>
    <t>Landespreis fuer attraktives Ferienprogramm, unser-ferienprogramm.de Plattform</t>
  </si>
  <si>
    <t>gemeinde@herzogsdorf.ooe.gv.at</t>
  </si>
  <si>
    <t>Online-Buchung, Vereine+Institutionen+Privatpersonen als Anbieter</t>
  </si>
  <si>
    <t>gemeinde@engerwitzdorf.gv.at</t>
  </si>
  <si>
    <t>Therapiehunde, Bogenschiessen, Acrylmalerei, Radtouren, Bollywood-Tanz</t>
  </si>
  <si>
    <t>stadtgemeinde@gallneukirchen.at</t>
  </si>
  <si>
    <t>Buecherinsel, Bogenschiessen, Kreativwettbewerbe, Sommerauslagen</t>
  </si>
  <si>
    <t>gemeinde@steyregg.ooe.gv.at</t>
  </si>
  <si>
    <t>Schwimmen, Feuerwehr, Theater, Kurse+Workshops+Ausfluege</t>
  </si>
  <si>
    <t>gemeinde@feldkirchen-donau.ooe.gv.at</t>
  </si>
  <si>
    <t>Wasseraktivitaeten, 4 Badeseen, Aquapark, Familienangebote</t>
  </si>
  <si>
    <t>gemeinde@alberndorf.ooe.gv.at</t>
  </si>
  <si>
    <t>Ferienaktivitaeten oberes Muehlviertel</t>
  </si>
  <si>
    <t>gemeinde@reichenthal.ooe.gv.at</t>
  </si>
  <si>
    <t>Ferienpass fuer daheimgebliebene Kinder</t>
  </si>
  <si>
    <t>post@freistadt.ooe.gv.at</t>
  </si>
  <si>
    <t>~50 Events: Schnorcheln, Bootsrennen, Raetselrallyes, Kino, Klettern, 3D-Druck</t>
  </si>
  <si>
    <t>gemeinde@pregarten.ooe.gv.at</t>
  </si>
  <si>
    <t>Bauernhofbesuche, Brotbacken, Marmeladekochen, Outdoor-Abenteuer</t>
  </si>
  <si>
    <t>gemeinde@neumarkt-muehlkreis.ooe.gv.at</t>
  </si>
  <si>
    <t>Seit 1994, fuer lokale Schulkinder und Touristen</t>
  </si>
  <si>
    <t>gemeinde@kefermarkt.ooe.gv.at</t>
  </si>
  <si>
    <t>Gemeinde-Ferienprogramm, lokale Vereine</t>
  </si>
  <si>
    <t>gemeinde@rohrbach-berg.ooe.gv.at</t>
  </si>
  <si>
    <t>Hula Hoop, Robotik, Kochen, Astronomie, Fischen, Lagerfeuer, Klettern</t>
  </si>
  <si>
    <t>rathaus@leonding.at</t>
  </si>
  <si>
    <t>40 versch. Veranstaltungen, 8 Wochen, Uebernachtung im Rathaus, Baumkronenpfad</t>
  </si>
  <si>
    <t>gemeinde@traun.at</t>
  </si>
  <si>
    <t>AK-Ferienspass: Sport, Basteln, Ausfluege, Spiele</t>
  </si>
  <si>
    <t>kulturjugendsport@ansfelden.at</t>
  </si>
  <si>
    <t>Eigene Ferienaktion-Website, Kultur/Jugend/Sport-Abteilung organisiert</t>
  </si>
  <si>
    <t>gemeinde@pasching.at</t>
  </si>
  <si>
    <t>Spielen, Entdecken, Sport, Kreativitaet, Anmeldung ab Juni</t>
  </si>
  <si>
    <t>gemeinde@hoersching.ooe.gv.at</t>
  </si>
  <si>
    <t>Natur, Wasserrettung, Workshops, Online-Anmeldung ab Juli</t>
  </si>
  <si>
    <t>office@enns.ooe.gv.at</t>
  </si>
  <si>
    <t>40+ Events: Tennis, Klettern, Yoga, Tanz, Wissenschaft, Betriebsbesuche</t>
  </si>
  <si>
    <t>jugend@thalheim.at</t>
  </si>
  <si>
    <t>Englisch-Camps, Schwimmkurse, Eventjet-Buchungssystem, ab Mai buchbar</t>
  </si>
  <si>
    <t>gemeindeamt@marchtrenk.gv.at</t>
  </si>
  <si>
    <t>Eines der aeltesten Programme in OOe, Camping, Tennis, Sport+Kunst</t>
  </si>
  <si>
    <t>gemeinde@pichl.ooe.gv.at</t>
  </si>
  <si>
    <t>Vereine, Feuerwehr, Betriebe als Anbieter</t>
  </si>
  <si>
    <t>gemeinde@kremsmuenster.ooe.gv.at</t>
  </si>
  <si>
    <t>Seit 1998, Online-Buchung, Bogenschiessen, Tierkontakt, Wassererlebnisse</t>
  </si>
  <si>
    <t>gemeinde@garsten.ooe.gv.at</t>
  </si>
  <si>
    <t>Ferienpass + HEY! Feriencamp (14.7.-22.8.), vielfaeltige Aktivitaeten</t>
  </si>
  <si>
    <t>culturamt@gmunden.ooe.gv.at</t>
  </si>
  <si>
    <t>~60 Events/Kurse/Workshops/Ausfluege, Sport+Abenteuer+Kreativ, Kulturamt org.</t>
  </si>
  <si>
    <t>gemeinde@altmuenster.ooe.gv.at</t>
  </si>
  <si>
    <t>Toepfern, Schnitzen, Wasserrettung, Feuerwehr, Online-Anmeldung ab Juli</t>
  </si>
  <si>
    <t>gemeinde@laakirchen.ooe.gv.at</t>
  </si>
  <si>
    <t>Gemeinde-Ferienpass, lokale Angebote</t>
  </si>
  <si>
    <t>gemeinde@voecklabruck.at</t>
  </si>
  <si>
    <t>20 Jahre, ~60 Events: Klettern, Skaten, Tennis, Naehen, Malen, Geocaching</t>
  </si>
  <si>
    <t>gemeinde@attnang-puchheim.ooe.gv.at</t>
  </si>
  <si>
    <t>Online-Anmeldung ab Ende Juni, diverse Aktivitaeten</t>
  </si>
  <si>
    <t>gemeinde@schwanenstadt.at</t>
  </si>
  <si>
    <t>Gemeinde-Ferienspass</t>
  </si>
  <si>
    <t>gemeinde@perg.ooe.gv.at</t>
  </si>
  <si>
    <t>MUEKIS Muehlviertler Kinderspiele, Anmeldung ab Mitte Juni</t>
  </si>
  <si>
    <t>post@ried.ooe.gv.at</t>
  </si>
  <si>
    <t>Schnorcheln, Tanzwochen, Beachvolleyball, Imkern, 20+ Jahre Tradition</t>
  </si>
  <si>
    <t>gemeinde@hohenzell.ooe.gv.at</t>
  </si>
  <si>
    <t>Ferienspasstage fuer Kinder</t>
  </si>
  <si>
    <t>NATURPROGRAMME OUTREACH TRACKER</t>
  </si>
  <si>
    <t>Stand:</t>
  </si>
  <si>
    <t>09.02.2026</t>
  </si>
  <si>
    <t>PIPELINE ÜBERSICHT</t>
  </si>
  <si>
    <t>Gesamt Kontakte</t>
  </si>
  <si>
    <t>Ohne Tier (Gemeinden etc.)</t>
  </si>
  <si>
    <t>NACH AKTION</t>
  </si>
  <si>
    <t>Outreach (Direktkontakt)</t>
  </si>
  <si>
    <t>Registrieren (Plattformen)</t>
  </si>
  <si>
    <t>Andere/Unbekannt</t>
  </si>
  <si>
    <t>STATUS TRACKING</t>
  </si>
  <si>
    <t>Gesendet</t>
  </si>
  <si>
    <t>Antwort_Erhalten</t>
  </si>
  <si>
    <t>Interesse_Spaeter</t>
  </si>
  <si>
    <t>Gespraech_Geplant</t>
  </si>
  <si>
    <t>Angebot_Gesendet</t>
  </si>
  <si>
    <t>Gebucht</t>
  </si>
  <si>
    <t>Abgeschlossen</t>
  </si>
  <si>
    <t>Kalt</t>
  </si>
  <si>
    <t>EUR</t>
  </si>
  <si>
    <t>Nicht_Interessiert / Partnerschaft_Aktiv</t>
  </si>
  <si>
    <t>#</t>
  </si>
  <si>
    <t>Personalisierung</t>
  </si>
  <si>
    <t>Einziger Kalkstein-NP, WildnisCamp — perfekte Ergänzung</t>
  </si>
  <si>
    <t>Größter Naturpark OÖ, DarkSky Park, bestehende Schulprogramme</t>
  </si>
  <si>
    <t>Insekten-Workshops für Schulen — direkte Synergie</t>
  </si>
  <si>
    <t>Stift Schlierbach</t>
  </si>
  <si>
    <t>Explizit Schulklassen+Jugendgruppen willkommen</t>
  </si>
  <si>
    <t>Naturpark des Jahres 2019, geführte Touren 12+</t>
  </si>
  <si>
    <t>Jüngster Naturpark OÖ, Landwirtschaft+Natur</t>
  </si>
  <si>
    <t>Tor zum NP Kalkalpen, Seminarraum bereit</t>
  </si>
  <si>
    <t>Alpine Lage, 150m² Seminarraum</t>
  </si>
  <si>
    <t>JUFA Hotel Grünau im Almtal</t>
  </si>
  <si>
    <t>180+ Betten, Naturschutzgebiet, Schulgruppen</t>
  </si>
  <si>
    <t>350+ Betten, größter Seminarbetrieb, NP-Nähe</t>
  </si>
  <si>
    <t>Status-Wert</t>
  </si>
  <si>
    <t>Bedeutung</t>
  </si>
  <si>
    <t>Naechster Schritt</t>
  </si>
  <si>
    <t>Noch nicht kontaktiert</t>
  </si>
  <si>
    <t>Segment + Email vorbereiten</t>
  </si>
  <si>
    <t>Erste Email gesendet, keine Antwort</t>
  </si>
  <si>
    <t>Warten bis Naechste_Aktion_Datum, dann Follow-Up 1</t>
  </si>
  <si>
    <t>Erstes Follow-Up gesendet</t>
  </si>
  <si>
    <t>Warten +7 Tage, dann Follow-Up 2</t>
  </si>
  <si>
    <t>Zweites Follow-Up gesendet</t>
  </si>
  <si>
    <t>Warten +5 Tage, LinkedIn Connect, dann Kalt</t>
  </si>
  <si>
    <t>Antwort erhalten (jede Art)</t>
  </si>
  <si>
    <t>Innerhalb 24h antworten</t>
  </si>
  <si>
    <t>Interesse aber nicht jetzt</t>
  </si>
  <si>
    <t>Naechste_Aktion_Datum auf genanntes Datum oder Saisonstart setzen</t>
  </si>
  <si>
    <t>Discovery Call vereinbart</t>
  </si>
  <si>
    <t>Vorbereiten + teilnehmen</t>
  </si>
  <si>
    <t>Konkretes Angebot gesendet</t>
  </si>
  <si>
    <t>Nachfassen nach 7 Tagen</t>
  </si>
  <si>
    <t>Workshop gebucht und bestaetigt</t>
  </si>
  <si>
    <t>Rechnung + Vorbereitung + Kalender</t>
  </si>
  <si>
    <t>Workshop durchgefuehrt</t>
  </si>
  <si>
    <t>Tag+1 Danke, Tag+7 Referral, Tag+14 Testimonial</t>
  </si>
  <si>
    <t>Keine Antwort nach allen Follow-Ups</t>
  </si>
  <si>
    <t>Revisit naechste Saison (Naechste_Aktion_Datum setzen)</t>
  </si>
  <si>
    <t>Nicht_Interessiert</t>
  </si>
  <si>
    <t>Explizite Absage</t>
  </si>
  <si>
    <t>Archivieren, nicht mehr kontaktieren</t>
  </si>
  <si>
    <t>Partnerschaft_Aktiv</t>
  </si>
  <si>
    <t>Laufende Zusammenarbeit</t>
  </si>
  <si>
    <t>Quartals-Check-in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</si>
</sst>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00FFFFFF"/>
      <sz val="11"/>
    </font>
    <font>
      <b/>
      <color rgb="002E7D32"/>
      <sz val="13"/>
    </font>
    <font>
      <sz val="11"/>
    </font>
    <font>
      <b/>
      <sz val="12"/>
    </font>
    <font>
      <b/>
      <color rgb="00FFFFFF"/>
    </font>
  </fonts>
  <fills count="8">
    <fill>
      <patternFill patternType="none"/>
    </fill>
    <fill>
      <patternFill patternType="gray125"/>
    </fill>
    <fill>
      <patternFill patternType="solid">
        <fgColor rgb="002E7D32"/>
        <bgColor rgb="002E7D32"/>
      </patternFill>
    </fill>
    <fill>
      <patternFill patternType="solid">
        <fgColor rgb="00F1F8E9"/>
        <bgColor rgb="00F1F8E9"/>
      </patternFill>
    </fill>
    <fill>
      <patternFill/>
    </fill>
    <fill>
      <patternFill patternType="solid">
        <fgColor rgb="00E65100"/>
        <bgColor rgb="00E65100"/>
      </patternFill>
    </fill>
    <fill>
      <patternFill patternType="solid">
        <fgColor rgb="00FFF3E0"/>
        <bgColor rgb="00FFF3E0"/>
      </patternFill>
    </fill>
    <fill>
      <patternFill patternType="solid">
        <fgColor rgb="0037474F"/>
        <bgColor rgb="003747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wrapText="1"/>
    </xf>
    <xf numFmtId="0" fontId="0" fillId="3" borderId="0" xfId="0" applyFill="1" applyAlignment="1">
      <alignment vertical="top" wrapText="1"/>
    </xf>
    <xf numFmtId="0" fontId="0" fillId="4" borderId="0" xfId="0" applyFill="1" applyAlignment="1">
      <alignment vertical="top" wrapText="1"/>
    </xf>
    <xf numFmtId="0" fontId="2" fillId="4" borderId="0" xfId="0" applyFont="1" applyFill="1"/>
    <xf numFmtId="0" fontId="3" fillId="4" borderId="0" xfId="0" applyFont="1" applyFill="1"/>
    <xf numFmtId="0" fontId="4" fillId="4" borderId="0" xfId="0" applyFont="1" applyFill="1"/>
    <xf numFmtId="0" fontId="1" fillId="5" borderId="0" xfId="0" applyFont="1" applyFill="1"/>
    <xf numFmtId="0" fontId="0" fillId="6" borderId="0" xfId="0" applyFill="1" applyAlignment="1">
      <alignment vertical="top" wrapText="1"/>
    </xf>
    <xf numFmtId="0" fontId="5" fillId="7" borderId="0" xfId="0" applyFont="1" applyFill="1" applyAlignment="1">
      <alignment wrapText="1"/>
    </xf>
    <xf numFmtId="0" fontId="0" fillId="4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V147"/>
  <sheetViews>
    <sheetView workbookViewId="0" zoomScale="100" zoomScaleNormal="100">
      <pane xSplit="2" ySplit="1" topLeftCell="C2" activePane="bottomRight" state="frozen"/>
      <selection pane="bottomRight" activeCell="A1" sqref="A1"/>
    </sheetView>
  </sheetViews>
  <sheetFormatPr defaultRowHeight="15" outlineLevelRow="0" outlineLevelCol="0" x14ac:dyDescent="0"/>
  <cols>
    <col min="1" max="1" width="28" customWidth="1"/>
    <col min="2" max="2" width="30" customWidth="1"/>
    <col min="3" max="3" width="18" customWidth="1"/>
    <col min="4" max="4" width="16" customWidth="1"/>
    <col min="5" max="5" width="8" customWidth="1"/>
    <col min="6" max="6" width="22" customWidth="1"/>
    <col min="7" max="7" width="14" customWidth="1"/>
    <col min="8" max="8" width="40" customWidth="1"/>
    <col min="9" max="9" width="30" customWidth="1"/>
    <col min="10" max="10" width="20" customWidth="1"/>
    <col min="11" max="11" width="14" customWidth="1"/>
    <col min="12" max="16" width="12" customWidth="1"/>
    <col min="17" max="17" width="20" customWidth="1"/>
    <col min="18" max="18" width="25" customWidth="1"/>
    <col min="19" max="19" width="10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t="s">
        <v>19</v>
      </c>
      <c r="U1" t="s">
        <v>20</v>
      </c>
      <c r="V1" t="s">
        <v>21</v>
      </c>
    </row>
    <row r="2" spans="1:19" x14ac:dyDescent="0.25">
      <c r="A2" s="2" t="s">
        <v>22</v>
      </c>
      <c r="B2" s="2" t="s">
        <v>23</v>
      </c>
      <c r="C2" s="2" t="s">
        <v>24</v>
      </c>
      <c r="D2" s="2" t="s">
        <v>25</v>
      </c>
      <c r="E2" s="2" t="s">
        <v>26</v>
      </c>
      <c r="F2" s="2"/>
      <c r="G2" s="2" t="s">
        <v>27</v>
      </c>
      <c r="H2" s="2" t="s">
        <v>28</v>
      </c>
      <c r="I2" s="2" t="s">
        <v>29</v>
      </c>
      <c r="J2" s="2" t="s">
        <v>30</v>
      </c>
      <c r="K2" s="2" t="s">
        <v>31</v>
      </c>
      <c r="L2" s="2"/>
      <c r="M2" s="2"/>
      <c r="N2" s="2"/>
      <c r="O2" s="2"/>
      <c r="P2" s="2"/>
      <c r="Q2" s="2"/>
      <c r="R2" s="2"/>
      <c r="S2" s="2"/>
    </row>
    <row r="3" spans="1:19" x14ac:dyDescent="0.25">
      <c r="A3" s="3" t="s">
        <v>32</v>
      </c>
      <c r="B3" s="3" t="s">
        <v>33</v>
      </c>
      <c r="C3" s="3" t="s">
        <v>34</v>
      </c>
      <c r="D3" s="3" t="s">
        <v>35</v>
      </c>
      <c r="E3" s="3" t="s">
        <v>26</v>
      </c>
      <c r="F3" s="3"/>
      <c r="G3" s="3" t="s">
        <v>27</v>
      </c>
      <c r="H3" s="3" t="s">
        <v>36</v>
      </c>
      <c r="I3" s="3" t="s">
        <v>37</v>
      </c>
      <c r="J3" s="3" t="s">
        <v>30</v>
      </c>
      <c r="K3" s="3" t="s">
        <v>31</v>
      </c>
      <c r="L3" s="3"/>
      <c r="M3" s="3"/>
      <c r="N3" s="3"/>
      <c r="O3" s="3"/>
      <c r="P3" s="3"/>
      <c r="Q3" s="3"/>
      <c r="R3" s="3"/>
      <c r="S3" s="3"/>
    </row>
    <row r="4" spans="1:19" x14ac:dyDescent="0.25">
      <c r="A4" s="2" t="s">
        <v>38</v>
      </c>
      <c r="B4" s="2" t="s">
        <v>39</v>
      </c>
      <c r="C4" s="2" t="s">
        <v>34</v>
      </c>
      <c r="D4" s="2" t="s">
        <v>40</v>
      </c>
      <c r="E4" s="2" t="s">
        <v>26</v>
      </c>
      <c r="F4" s="2"/>
      <c r="G4" s="2" t="s">
        <v>27</v>
      </c>
      <c r="H4" s="2" t="s">
        <v>41</v>
      </c>
      <c r="I4" s="2" t="s">
        <v>42</v>
      </c>
      <c r="J4" s="2" t="s">
        <v>30</v>
      </c>
      <c r="K4" s="2" t="s">
        <v>31</v>
      </c>
      <c r="L4" s="2"/>
      <c r="M4" s="2"/>
      <c r="N4" s="2"/>
      <c r="O4" s="2"/>
      <c r="P4" s="2"/>
      <c r="Q4" s="2"/>
      <c r="R4" s="2"/>
      <c r="S4" s="2"/>
    </row>
    <row r="5" spans="1:19" x14ac:dyDescent="0.25">
      <c r="A5" s="3" t="s">
        <v>43</v>
      </c>
      <c r="B5" s="3" t="s">
        <v>44</v>
      </c>
      <c r="C5" s="3" t="s">
        <v>34</v>
      </c>
      <c r="D5" s="3" t="s">
        <v>45</v>
      </c>
      <c r="E5" s="3" t="s">
        <v>26</v>
      </c>
      <c r="F5" s="3"/>
      <c r="G5" s="3" t="s">
        <v>27</v>
      </c>
      <c r="H5" s="3" t="s">
        <v>46</v>
      </c>
      <c r="I5" s="3" t="s">
        <v>47</v>
      </c>
      <c r="J5" s="3" t="s">
        <v>30</v>
      </c>
      <c r="K5" s="3" t="s">
        <v>31</v>
      </c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48</v>
      </c>
      <c r="B6" s="2" t="s">
        <v>49</v>
      </c>
      <c r="C6" s="2" t="s">
        <v>50</v>
      </c>
      <c r="D6" s="2" t="s">
        <v>25</v>
      </c>
      <c r="E6" s="2" t="s">
        <v>26</v>
      </c>
      <c r="F6" s="2"/>
      <c r="G6" s="2" t="s">
        <v>27</v>
      </c>
      <c r="H6" s="2" t="s">
        <v>51</v>
      </c>
      <c r="I6" s="2" t="s">
        <v>52</v>
      </c>
      <c r="J6" s="2" t="s">
        <v>30</v>
      </c>
      <c r="K6" s="2" t="s">
        <v>31</v>
      </c>
      <c r="L6" s="2"/>
      <c r="M6" s="2"/>
      <c r="N6" s="2"/>
      <c r="O6" s="2"/>
      <c r="P6" s="2"/>
      <c r="Q6" s="2"/>
      <c r="R6" s="2"/>
      <c r="S6" s="2"/>
    </row>
    <row r="7" spans="1:19" x14ac:dyDescent="0.25">
      <c r="A7" s="3" t="s">
        <v>53</v>
      </c>
      <c r="B7" s="3" t="s">
        <v>54</v>
      </c>
      <c r="C7" s="3" t="s">
        <v>34</v>
      </c>
      <c r="D7" s="3" t="s">
        <v>55</v>
      </c>
      <c r="E7" s="3" t="s">
        <v>26</v>
      </c>
      <c r="F7" s="3"/>
      <c r="G7" s="3" t="s">
        <v>27</v>
      </c>
      <c r="H7" s="3" t="s">
        <v>56</v>
      </c>
      <c r="I7" s="3" t="s">
        <v>57</v>
      </c>
      <c r="J7" s="3" t="s">
        <v>30</v>
      </c>
      <c r="K7" s="3" t="s">
        <v>31</v>
      </c>
      <c r="L7" s="3"/>
      <c r="M7" s="3"/>
      <c r="N7" s="3"/>
      <c r="O7" s="3"/>
      <c r="P7" s="3"/>
      <c r="Q7" s="3"/>
      <c r="R7" s="3"/>
      <c r="S7" s="3"/>
    </row>
    <row r="8" spans="1:19" x14ac:dyDescent="0.25">
      <c r="A8" s="2" t="s">
        <v>58</v>
      </c>
      <c r="B8" s="2" t="s">
        <v>59</v>
      </c>
      <c r="C8" s="2" t="s">
        <v>60</v>
      </c>
      <c r="D8" s="2" t="s">
        <v>61</v>
      </c>
      <c r="E8" s="2" t="s">
        <v>26</v>
      </c>
      <c r="F8" s="2"/>
      <c r="G8" s="2" t="s">
        <v>62</v>
      </c>
      <c r="H8" s="2" t="s">
        <v>63</v>
      </c>
      <c r="I8" s="2" t="s">
        <v>64</v>
      </c>
      <c r="J8" s="2" t="s">
        <v>30</v>
      </c>
      <c r="K8" s="2" t="s">
        <v>31</v>
      </c>
      <c r="L8" s="2"/>
      <c r="M8" s="2"/>
      <c r="N8" s="2"/>
      <c r="O8" s="2"/>
      <c r="P8" s="2"/>
      <c r="Q8" s="2"/>
      <c r="R8" s="2"/>
      <c r="S8" s="2"/>
    </row>
    <row r="9" spans="1:19" x14ac:dyDescent="0.25">
      <c r="A9" s="3" t="s">
        <v>65</v>
      </c>
      <c r="B9" s="3" t="s">
        <v>66</v>
      </c>
      <c r="C9" s="3" t="s">
        <v>60</v>
      </c>
      <c r="D9" s="3" t="s">
        <v>67</v>
      </c>
      <c r="E9" s="3" t="s">
        <v>26</v>
      </c>
      <c r="F9" s="3"/>
      <c r="G9" s="3" t="s">
        <v>62</v>
      </c>
      <c r="H9" s="3" t="s">
        <v>68</v>
      </c>
      <c r="I9" s="3" t="s">
        <v>69</v>
      </c>
      <c r="J9" s="3" t="s">
        <v>30</v>
      </c>
      <c r="K9" s="3" t="s">
        <v>31</v>
      </c>
      <c r="L9" s="3"/>
      <c r="M9" s="3"/>
      <c r="N9" s="3"/>
      <c r="O9" s="3"/>
      <c r="P9" s="3"/>
      <c r="Q9" s="3"/>
      <c r="R9" s="3"/>
      <c r="S9" s="3"/>
    </row>
    <row r="10" spans="1:19" x14ac:dyDescent="0.25">
      <c r="A10" s="2" t="s">
        <v>70</v>
      </c>
      <c r="B10" s="2" t="s">
        <v>71</v>
      </c>
      <c r="C10" s="2" t="s">
        <v>72</v>
      </c>
      <c r="D10" s="2" t="s">
        <v>73</v>
      </c>
      <c r="E10" s="2" t="s">
        <v>26</v>
      </c>
      <c r="F10" s="2"/>
      <c r="G10" s="2" t="s">
        <v>62</v>
      </c>
      <c r="H10" s="2" t="s">
        <v>74</v>
      </c>
      <c r="I10" s="2" t="s">
        <v>75</v>
      </c>
      <c r="J10" s="2" t="s">
        <v>30</v>
      </c>
      <c r="K10" s="2" t="s">
        <v>31</v>
      </c>
      <c r="L10" s="2"/>
      <c r="M10" s="2"/>
      <c r="N10" s="2"/>
      <c r="O10" s="2"/>
      <c r="P10" s="2"/>
      <c r="Q10" s="2"/>
      <c r="R10" s="2"/>
      <c r="S10" s="2"/>
    </row>
    <row r="11" spans="1:19" x14ac:dyDescent="0.25">
      <c r="A11" s="3" t="s">
        <v>76</v>
      </c>
      <c r="B11" s="3" t="s">
        <v>77</v>
      </c>
      <c r="C11" s="3" t="s">
        <v>78</v>
      </c>
      <c r="D11" s="3" t="s">
        <v>79</v>
      </c>
      <c r="E11" s="3" t="s">
        <v>26</v>
      </c>
      <c r="F11" s="3"/>
      <c r="G11" s="3" t="s">
        <v>62</v>
      </c>
      <c r="H11" s="3" t="s">
        <v>80</v>
      </c>
      <c r="I11" s="3" t="s">
        <v>81</v>
      </c>
      <c r="J11" s="3" t="s">
        <v>30</v>
      </c>
      <c r="K11" s="3" t="s">
        <v>31</v>
      </c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82</v>
      </c>
      <c r="B12" s="2" t="s">
        <v>83</v>
      </c>
      <c r="C12" s="2" t="s">
        <v>84</v>
      </c>
      <c r="D12" s="2" t="s">
        <v>25</v>
      </c>
      <c r="E12" s="2" t="s">
        <v>26</v>
      </c>
      <c r="F12" s="2"/>
      <c r="G12" s="2" t="s">
        <v>85</v>
      </c>
      <c r="H12" s="2" t="s">
        <v>86</v>
      </c>
      <c r="I12" s="2" t="s">
        <v>87</v>
      </c>
      <c r="J12" s="2" t="s">
        <v>30</v>
      </c>
      <c r="K12" s="2" t="s">
        <v>31</v>
      </c>
      <c r="L12" s="2"/>
      <c r="M12" s="2"/>
      <c r="N12" s="2"/>
      <c r="O12" s="2"/>
      <c r="P12" s="2"/>
      <c r="Q12" s="2"/>
      <c r="R12" s="2"/>
      <c r="S12" s="2"/>
    </row>
    <row r="13" spans="1:19" x14ac:dyDescent="0.25">
      <c r="A13" s="3" t="s">
        <v>88</v>
      </c>
      <c r="B13" s="3" t="s">
        <v>89</v>
      </c>
      <c r="C13" s="3" t="s">
        <v>90</v>
      </c>
      <c r="D13" s="3" t="s">
        <v>91</v>
      </c>
      <c r="E13" s="3" t="s">
        <v>26</v>
      </c>
      <c r="F13" s="3"/>
      <c r="G13" s="3" t="s">
        <v>85</v>
      </c>
      <c r="H13" s="3" t="s">
        <v>92</v>
      </c>
      <c r="I13" s="3" t="s">
        <v>93</v>
      </c>
      <c r="J13" s="3" t="s">
        <v>30</v>
      </c>
      <c r="K13" s="3" t="s">
        <v>31</v>
      </c>
      <c r="L13" s="3"/>
      <c r="M13" s="3"/>
      <c r="N13" s="3"/>
      <c r="O13" s="3"/>
      <c r="P13" s="3"/>
      <c r="Q13" s="3"/>
      <c r="R13" s="3"/>
      <c r="S13" s="3"/>
    </row>
    <row r="14" spans="1:19" x14ac:dyDescent="0.25">
      <c r="A14" s="2" t="s">
        <v>94</v>
      </c>
      <c r="B14" s="2" t="s">
        <v>95</v>
      </c>
      <c r="C14" s="2" t="s">
        <v>72</v>
      </c>
      <c r="D14" s="2" t="s">
        <v>73</v>
      </c>
      <c r="E14" s="2" t="s">
        <v>26</v>
      </c>
      <c r="F14" s="2"/>
      <c r="G14" s="2" t="s">
        <v>85</v>
      </c>
      <c r="H14" s="2" t="s">
        <v>96</v>
      </c>
      <c r="I14" s="2" t="s">
        <v>97</v>
      </c>
      <c r="J14" s="2" t="s">
        <v>30</v>
      </c>
      <c r="K14" s="2" t="s">
        <v>31</v>
      </c>
      <c r="L14" s="2"/>
      <c r="M14" s="2"/>
      <c r="N14" s="2"/>
      <c r="O14" s="2"/>
      <c r="P14" s="2"/>
      <c r="Q14" s="2"/>
      <c r="R14" s="2"/>
      <c r="S14" s="2"/>
    </row>
    <row r="15" spans="1:19" x14ac:dyDescent="0.25">
      <c r="A15" s="3" t="s">
        <v>98</v>
      </c>
      <c r="B15" s="3" t="s">
        <v>99</v>
      </c>
      <c r="C15" s="3" t="s">
        <v>100</v>
      </c>
      <c r="D15" s="3" t="s">
        <v>101</v>
      </c>
      <c r="E15" s="3" t="s">
        <v>26</v>
      </c>
      <c r="F15" s="3" t="s">
        <v>102</v>
      </c>
      <c r="G15" s="3"/>
      <c r="H15" s="3" t="s">
        <v>103</v>
      </c>
      <c r="I15" s="3"/>
      <c r="J15" s="3" t="s">
        <v>104</v>
      </c>
      <c r="K15" s="3" t="s">
        <v>31</v>
      </c>
      <c r="L15" s="3"/>
      <c r="M15" s="3"/>
      <c r="N15" s="3"/>
      <c r="O15" s="3"/>
      <c r="P15" s="3"/>
      <c r="Q15" s="3"/>
      <c r="R15" s="3"/>
      <c r="S15" s="3"/>
    </row>
    <row r="16" spans="1:19" x14ac:dyDescent="0.25">
      <c r="A16" s="2" t="s">
        <v>105</v>
      </c>
      <c r="B16" s="2" t="s">
        <v>106</v>
      </c>
      <c r="C16" s="2" t="s">
        <v>100</v>
      </c>
      <c r="D16" s="2" t="s">
        <v>107</v>
      </c>
      <c r="E16" s="2" t="s">
        <v>26</v>
      </c>
      <c r="F16" s="2" t="s">
        <v>108</v>
      </c>
      <c r="G16" s="2"/>
      <c r="H16" s="2" t="s">
        <v>109</v>
      </c>
      <c r="I16" s="2"/>
      <c r="J16" s="2" t="s">
        <v>104</v>
      </c>
      <c r="K16" s="2" t="s">
        <v>31</v>
      </c>
      <c r="L16" s="2"/>
      <c r="M16" s="2"/>
      <c r="N16" s="2"/>
      <c r="O16" s="2"/>
      <c r="P16" s="2"/>
      <c r="Q16" s="2"/>
      <c r="R16" s="2"/>
      <c r="S16" s="2"/>
    </row>
    <row r="17" spans="1:19" x14ac:dyDescent="0.25">
      <c r="A17" s="3" t="s">
        <v>110</v>
      </c>
      <c r="B17" s="3" t="s">
        <v>111</v>
      </c>
      <c r="C17" s="3" t="s">
        <v>112</v>
      </c>
      <c r="D17" s="3" t="s">
        <v>113</v>
      </c>
      <c r="E17" s="3" t="s">
        <v>26</v>
      </c>
      <c r="F17" s="3" t="s">
        <v>114</v>
      </c>
      <c r="G17" s="3"/>
      <c r="H17" s="3" t="s">
        <v>115</v>
      </c>
      <c r="I17" s="3"/>
      <c r="J17" s="3" t="s">
        <v>104</v>
      </c>
      <c r="K17" s="3" t="s">
        <v>31</v>
      </c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116</v>
      </c>
      <c r="B18" s="2" t="s">
        <v>117</v>
      </c>
      <c r="C18" s="2" t="s">
        <v>112</v>
      </c>
      <c r="D18" s="2" t="s">
        <v>118</v>
      </c>
      <c r="E18" s="2" t="s">
        <v>26</v>
      </c>
      <c r="F18" s="2" t="s">
        <v>114</v>
      </c>
      <c r="G18" s="2"/>
      <c r="H18" s="2" t="s">
        <v>119</v>
      </c>
      <c r="I18" s="2"/>
      <c r="J18" s="2" t="s">
        <v>104</v>
      </c>
      <c r="K18" s="2" t="s">
        <v>31</v>
      </c>
      <c r="L18" s="2"/>
      <c r="M18" s="2"/>
      <c r="N18" s="2"/>
      <c r="O18" s="2"/>
      <c r="P18" s="2"/>
      <c r="Q18" s="2"/>
      <c r="R18" s="2"/>
      <c r="S18" s="2"/>
    </row>
    <row r="19" spans="1:19" x14ac:dyDescent="0.25">
      <c r="A19" s="3" t="s">
        <v>120</v>
      </c>
      <c r="B19" s="3" t="s">
        <v>121</v>
      </c>
      <c r="C19" s="3" t="s">
        <v>122</v>
      </c>
      <c r="D19" s="3" t="s">
        <v>123</v>
      </c>
      <c r="E19" s="3" t="s">
        <v>26</v>
      </c>
      <c r="F19" s="3" t="s">
        <v>124</v>
      </c>
      <c r="G19" s="3"/>
      <c r="H19" s="3" t="s">
        <v>125</v>
      </c>
      <c r="I19" s="3"/>
      <c r="J19" s="3" t="s">
        <v>104</v>
      </c>
      <c r="K19" s="3" t="s">
        <v>31</v>
      </c>
      <c r="L19" s="3"/>
      <c r="M19" s="3"/>
      <c r="N19" s="3"/>
      <c r="O19" s="3"/>
      <c r="P19" s="3"/>
      <c r="Q19" s="3"/>
      <c r="R19" s="3"/>
      <c r="S19" s="3"/>
    </row>
    <row r="20" spans="1:19" x14ac:dyDescent="0.25">
      <c r="A20" s="2" t="s">
        <v>126</v>
      </c>
      <c r="B20" s="2" t="s">
        <v>127</v>
      </c>
      <c r="C20" s="2" t="s">
        <v>128</v>
      </c>
      <c r="D20" s="2" t="s">
        <v>45</v>
      </c>
      <c r="E20" s="2" t="s">
        <v>26</v>
      </c>
      <c r="F20" s="2" t="s">
        <v>124</v>
      </c>
      <c r="G20" s="2"/>
      <c r="H20" s="2" t="s">
        <v>129</v>
      </c>
      <c r="I20" s="2"/>
      <c r="J20" s="2" t="s">
        <v>104</v>
      </c>
      <c r="K20" s="2" t="s">
        <v>31</v>
      </c>
      <c r="L20" s="2"/>
      <c r="M20" s="2"/>
      <c r="N20" s="2"/>
      <c r="O20" s="2"/>
      <c r="P20" s="2"/>
      <c r="Q20" s="2"/>
      <c r="R20" s="2"/>
      <c r="S20" s="2"/>
    </row>
    <row r="21" spans="1:19" x14ac:dyDescent="0.25">
      <c r="A21" s="3" t="s">
        <v>130</v>
      </c>
      <c r="B21" s="3" t="s">
        <v>131</v>
      </c>
      <c r="C21" s="3" t="s">
        <v>128</v>
      </c>
      <c r="D21" s="3" t="s">
        <v>132</v>
      </c>
      <c r="E21" s="3" t="s">
        <v>26</v>
      </c>
      <c r="F21" s="3" t="s">
        <v>124</v>
      </c>
      <c r="G21" s="3"/>
      <c r="H21" s="3" t="s">
        <v>133</v>
      </c>
      <c r="I21" s="3"/>
      <c r="J21" s="3" t="s">
        <v>104</v>
      </c>
      <c r="K21" s="3" t="s">
        <v>31</v>
      </c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134</v>
      </c>
      <c r="B22" s="2" t="s">
        <v>135</v>
      </c>
      <c r="C22" s="2" t="s">
        <v>136</v>
      </c>
      <c r="D22" s="2" t="s">
        <v>137</v>
      </c>
      <c r="E22" s="2" t="s">
        <v>26</v>
      </c>
      <c r="F22" s="2" t="s">
        <v>124</v>
      </c>
      <c r="G22" s="2"/>
      <c r="H22" s="2" t="s">
        <v>138</v>
      </c>
      <c r="I22" s="2"/>
      <c r="J22" s="2" t="s">
        <v>104</v>
      </c>
      <c r="K22" s="2" t="s">
        <v>31</v>
      </c>
      <c r="L22" s="2"/>
      <c r="M22" s="2"/>
      <c r="N22" s="2"/>
      <c r="O22" s="2"/>
      <c r="P22" s="2"/>
      <c r="Q22" s="2"/>
      <c r="R22" s="2"/>
      <c r="S22" s="2"/>
    </row>
    <row r="23" spans="1:19" x14ac:dyDescent="0.25">
      <c r="A23" s="3" t="s">
        <v>139</v>
      </c>
      <c r="B23" s="3" t="s">
        <v>140</v>
      </c>
      <c r="C23" s="3" t="s">
        <v>141</v>
      </c>
      <c r="D23" s="3" t="s">
        <v>142</v>
      </c>
      <c r="E23" s="3" t="s">
        <v>26</v>
      </c>
      <c r="F23" s="3" t="s">
        <v>143</v>
      </c>
      <c r="G23" s="3"/>
      <c r="H23" s="3" t="s">
        <v>144</v>
      </c>
      <c r="I23" s="3"/>
      <c r="J23" s="3" t="s">
        <v>104</v>
      </c>
      <c r="K23" s="3" t="s">
        <v>31</v>
      </c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145</v>
      </c>
      <c r="B24" s="2" t="s">
        <v>146</v>
      </c>
      <c r="C24" s="2" t="s">
        <v>147</v>
      </c>
      <c r="D24" s="2" t="s">
        <v>148</v>
      </c>
      <c r="E24" s="2" t="s">
        <v>26</v>
      </c>
      <c r="F24" s="2" t="s">
        <v>149</v>
      </c>
      <c r="G24" s="2"/>
      <c r="H24" s="2" t="s">
        <v>150</v>
      </c>
      <c r="I24" s="2"/>
      <c r="J24" s="2" t="s">
        <v>104</v>
      </c>
      <c r="K24" s="2" t="s">
        <v>31</v>
      </c>
      <c r="L24" s="2"/>
      <c r="M24" s="2"/>
      <c r="N24" s="2"/>
      <c r="O24" s="2"/>
      <c r="P24" s="2"/>
      <c r="Q24" s="2"/>
      <c r="R24" s="2"/>
      <c r="S24" s="2"/>
    </row>
    <row r="25" spans="1:19" x14ac:dyDescent="0.25">
      <c r="A25" s="3" t="s">
        <v>151</v>
      </c>
      <c r="B25" s="3" t="s">
        <v>152</v>
      </c>
      <c r="C25" s="3" t="s">
        <v>147</v>
      </c>
      <c r="D25" s="3" t="s">
        <v>25</v>
      </c>
      <c r="E25" s="3" t="s">
        <v>26</v>
      </c>
      <c r="F25" s="3" t="s">
        <v>149</v>
      </c>
      <c r="G25" s="3"/>
      <c r="H25" s="3" t="s">
        <v>153</v>
      </c>
      <c r="I25" s="3"/>
      <c r="J25" s="3" t="s">
        <v>104</v>
      </c>
      <c r="K25" s="3" t="s">
        <v>31</v>
      </c>
      <c r="L25" s="3"/>
      <c r="M25" s="3"/>
      <c r="N25" s="3"/>
      <c r="O25" s="3"/>
      <c r="P25" s="3"/>
      <c r="Q25" s="3"/>
      <c r="R25" s="3"/>
      <c r="S25" s="3"/>
    </row>
    <row r="26" spans="1:19" x14ac:dyDescent="0.25">
      <c r="A26" s="2" t="s">
        <v>154</v>
      </c>
      <c r="B26" s="2" t="s">
        <v>155</v>
      </c>
      <c r="C26" s="2" t="s">
        <v>156</v>
      </c>
      <c r="D26" s="2" t="s">
        <v>157</v>
      </c>
      <c r="E26" s="2" t="s">
        <v>26</v>
      </c>
      <c r="F26" s="2" t="s">
        <v>124</v>
      </c>
      <c r="G26" s="2"/>
      <c r="H26" s="2" t="s">
        <v>158</v>
      </c>
      <c r="I26" s="2"/>
      <c r="J26" s="2" t="s">
        <v>104</v>
      </c>
      <c r="K26" s="2" t="s">
        <v>31</v>
      </c>
      <c r="L26" s="2"/>
      <c r="M26" s="2"/>
      <c r="N26" s="2"/>
      <c r="O26" s="2"/>
      <c r="P26" s="2"/>
      <c r="Q26" s="2"/>
      <c r="R26" s="2"/>
      <c r="S26" s="2"/>
    </row>
    <row r="27" spans="1:19" x14ac:dyDescent="0.25">
      <c r="A27" s="3" t="s">
        <v>159</v>
      </c>
      <c r="B27" s="3" t="s">
        <v>160</v>
      </c>
      <c r="C27" s="3" t="s">
        <v>156</v>
      </c>
      <c r="D27" s="3" t="s">
        <v>161</v>
      </c>
      <c r="E27" s="3" t="s">
        <v>26</v>
      </c>
      <c r="F27" s="3" t="s">
        <v>124</v>
      </c>
      <c r="G27" s="3"/>
      <c r="H27" s="3" t="s">
        <v>162</v>
      </c>
      <c r="I27" s="3"/>
      <c r="J27" s="3" t="s">
        <v>104</v>
      </c>
      <c r="K27" s="3" t="s">
        <v>31</v>
      </c>
      <c r="L27" s="3"/>
      <c r="M27" s="3"/>
      <c r="N27" s="3"/>
      <c r="O27" s="3"/>
      <c r="P27" s="3"/>
      <c r="Q27" s="3"/>
      <c r="R27" s="3"/>
      <c r="S27" s="3"/>
    </row>
    <row r="28" spans="1:19" x14ac:dyDescent="0.25">
      <c r="A28" s="2" t="s">
        <v>163</v>
      </c>
      <c r="B28" s="2" t="s">
        <v>164</v>
      </c>
      <c r="C28" s="2" t="s">
        <v>165</v>
      </c>
      <c r="D28" s="2" t="s">
        <v>166</v>
      </c>
      <c r="E28" s="2" t="s">
        <v>26</v>
      </c>
      <c r="F28" s="2" t="s">
        <v>143</v>
      </c>
      <c r="G28" s="2"/>
      <c r="H28" s="2" t="s">
        <v>167</v>
      </c>
      <c r="I28" s="2"/>
      <c r="J28" s="2" t="s">
        <v>104</v>
      </c>
      <c r="K28" s="2" t="s">
        <v>31</v>
      </c>
      <c r="L28" s="2"/>
      <c r="M28" s="2"/>
      <c r="N28" s="2"/>
      <c r="O28" s="2"/>
      <c r="P28" s="2"/>
      <c r="Q28" s="2"/>
      <c r="R28" s="2"/>
      <c r="S28" s="2"/>
    </row>
    <row r="29" spans="1:19" x14ac:dyDescent="0.25">
      <c r="A29" s="3" t="s">
        <v>168</v>
      </c>
      <c r="B29" s="3" t="s">
        <v>169</v>
      </c>
      <c r="C29" s="3" t="s">
        <v>170</v>
      </c>
      <c r="D29" s="3" t="s">
        <v>171</v>
      </c>
      <c r="E29" s="3" t="s">
        <v>26</v>
      </c>
      <c r="F29" s="3" t="s">
        <v>172</v>
      </c>
      <c r="G29" s="3"/>
      <c r="H29" s="3" t="s">
        <v>173</v>
      </c>
      <c r="I29" s="3"/>
      <c r="J29" s="3" t="s">
        <v>104</v>
      </c>
      <c r="K29" s="3" t="s">
        <v>31</v>
      </c>
      <c r="L29" s="3"/>
      <c r="M29" s="3"/>
      <c r="N29" s="3"/>
      <c r="O29" s="3"/>
      <c r="P29" s="3"/>
      <c r="Q29" s="3"/>
      <c r="R29" s="3"/>
      <c r="S29" s="3"/>
    </row>
    <row r="30" spans="1:19" x14ac:dyDescent="0.25">
      <c r="A30" s="2" t="s">
        <v>174</v>
      </c>
      <c r="B30" s="2" t="s">
        <v>175</v>
      </c>
      <c r="C30" s="2" t="s">
        <v>170</v>
      </c>
      <c r="D30" s="2" t="s">
        <v>157</v>
      </c>
      <c r="E30" s="2" t="s">
        <v>26</v>
      </c>
      <c r="F30" s="2" t="s">
        <v>172</v>
      </c>
      <c r="G30" s="2"/>
      <c r="H30" s="2" t="s">
        <v>176</v>
      </c>
      <c r="I30" s="2"/>
      <c r="J30" s="2" t="s">
        <v>104</v>
      </c>
      <c r="K30" s="2" t="s">
        <v>31</v>
      </c>
      <c r="L30" s="2"/>
      <c r="M30" s="2"/>
      <c r="N30" s="2"/>
      <c r="O30" s="2"/>
      <c r="P30" s="2"/>
      <c r="Q30" s="2"/>
      <c r="R30" s="2"/>
      <c r="S30" s="2"/>
    </row>
    <row r="31" spans="1:19" x14ac:dyDescent="0.25">
      <c r="A31" s="3" t="s">
        <v>177</v>
      </c>
      <c r="B31" s="3" t="s">
        <v>178</v>
      </c>
      <c r="C31" s="3" t="s">
        <v>170</v>
      </c>
      <c r="D31" s="3" t="s">
        <v>179</v>
      </c>
      <c r="E31" s="3" t="s">
        <v>26</v>
      </c>
      <c r="F31" s="3" t="s">
        <v>172</v>
      </c>
      <c r="G31" s="3"/>
      <c r="H31" s="3" t="s">
        <v>180</v>
      </c>
      <c r="I31" s="3"/>
      <c r="J31" s="3" t="s">
        <v>104</v>
      </c>
      <c r="K31" s="3" t="s">
        <v>31</v>
      </c>
      <c r="L31" s="3"/>
      <c r="M31" s="3"/>
      <c r="N31" s="3"/>
      <c r="O31" s="3"/>
      <c r="P31" s="3"/>
      <c r="Q31" s="3"/>
      <c r="R31" s="3"/>
      <c r="S31" s="3"/>
    </row>
    <row r="32" spans="1:19" x14ac:dyDescent="0.25">
      <c r="A32" s="2" t="s">
        <v>181</v>
      </c>
      <c r="B32" s="2" t="s">
        <v>182</v>
      </c>
      <c r="C32" s="2" t="s">
        <v>170</v>
      </c>
      <c r="D32" s="2" t="s">
        <v>132</v>
      </c>
      <c r="E32" s="2" t="s">
        <v>26</v>
      </c>
      <c r="F32" s="2" t="s">
        <v>172</v>
      </c>
      <c r="G32" s="2"/>
      <c r="H32" s="2" t="s">
        <v>183</v>
      </c>
      <c r="I32" s="2"/>
      <c r="J32" s="2" t="s">
        <v>104</v>
      </c>
      <c r="K32" s="2" t="s">
        <v>31</v>
      </c>
      <c r="L32" s="2"/>
      <c r="M32" s="2"/>
      <c r="N32" s="2"/>
      <c r="O32" s="2"/>
      <c r="P32" s="2"/>
      <c r="Q32" s="2"/>
      <c r="R32" s="2"/>
      <c r="S32" s="2"/>
    </row>
    <row r="33" spans="1:19" x14ac:dyDescent="0.25">
      <c r="A33" s="3" t="s">
        <v>184</v>
      </c>
      <c r="B33" s="3" t="s">
        <v>185</v>
      </c>
      <c r="C33" s="3" t="s">
        <v>186</v>
      </c>
      <c r="D33" s="3" t="s">
        <v>132</v>
      </c>
      <c r="E33" s="3" t="s">
        <v>26</v>
      </c>
      <c r="F33" s="3" t="s">
        <v>124</v>
      </c>
      <c r="G33" s="3"/>
      <c r="H33" s="3" t="s">
        <v>187</v>
      </c>
      <c r="I33" s="3"/>
      <c r="J33" s="3" t="s">
        <v>104</v>
      </c>
      <c r="K33" s="3" t="s">
        <v>31</v>
      </c>
      <c r="L33" s="3"/>
      <c r="M33" s="3"/>
      <c r="N33" s="3"/>
      <c r="O33" s="3"/>
      <c r="P33" s="3"/>
      <c r="Q33" s="3"/>
      <c r="R33" s="3"/>
      <c r="S33" s="3"/>
    </row>
    <row r="34" spans="1:19" x14ac:dyDescent="0.25">
      <c r="A34" s="2" t="s">
        <v>188</v>
      </c>
      <c r="B34" s="2" t="s">
        <v>189</v>
      </c>
      <c r="C34" s="2" t="s">
        <v>190</v>
      </c>
      <c r="D34" s="2" t="s">
        <v>191</v>
      </c>
      <c r="E34" s="2" t="s">
        <v>26</v>
      </c>
      <c r="F34" s="2" t="s">
        <v>192</v>
      </c>
      <c r="G34" s="2"/>
      <c r="H34" s="2" t="s">
        <v>193</v>
      </c>
      <c r="I34" s="2"/>
      <c r="J34" s="2" t="s">
        <v>104</v>
      </c>
      <c r="K34" s="2" t="s">
        <v>31</v>
      </c>
      <c r="L34" s="2"/>
      <c r="M34" s="2"/>
      <c r="N34" s="2"/>
      <c r="O34" s="2"/>
      <c r="P34" s="2"/>
      <c r="Q34" s="2"/>
      <c r="R34" s="2"/>
      <c r="S34" s="2"/>
    </row>
    <row r="35" spans="1:19" x14ac:dyDescent="0.25">
      <c r="A35" s="3" t="s">
        <v>194</v>
      </c>
      <c r="B35" s="3" t="s">
        <v>195</v>
      </c>
      <c r="C35" s="3" t="s">
        <v>196</v>
      </c>
      <c r="D35" s="3" t="s">
        <v>123</v>
      </c>
      <c r="E35" s="3" t="s">
        <v>26</v>
      </c>
      <c r="F35" s="3" t="s">
        <v>192</v>
      </c>
      <c r="G35" s="3"/>
      <c r="H35" s="3" t="s">
        <v>197</v>
      </c>
      <c r="I35" s="3"/>
      <c r="J35" s="3" t="s">
        <v>104</v>
      </c>
      <c r="K35" s="3" t="s">
        <v>31</v>
      </c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198</v>
      </c>
      <c r="B36" s="2" t="s">
        <v>199</v>
      </c>
      <c r="C36" s="2" t="s">
        <v>196</v>
      </c>
      <c r="D36" s="2" t="s">
        <v>200</v>
      </c>
      <c r="E36" s="2" t="s">
        <v>26</v>
      </c>
      <c r="F36" s="2" t="s">
        <v>192</v>
      </c>
      <c r="G36" s="2"/>
      <c r="H36" s="2" t="s">
        <v>201</v>
      </c>
      <c r="I36" s="2"/>
      <c r="J36" s="2" t="s">
        <v>104</v>
      </c>
      <c r="K36" s="2" t="s">
        <v>31</v>
      </c>
      <c r="L36" s="2"/>
      <c r="M36" s="2"/>
      <c r="N36" s="2"/>
      <c r="O36" s="2"/>
      <c r="P36" s="2"/>
      <c r="Q36" s="2"/>
      <c r="R36" s="2"/>
      <c r="S36" s="2"/>
    </row>
    <row r="37" spans="1:19" x14ac:dyDescent="0.25">
      <c r="A37" s="3" t="s">
        <v>202</v>
      </c>
      <c r="B37" s="3" t="s">
        <v>203</v>
      </c>
      <c r="C37" s="3" t="s">
        <v>196</v>
      </c>
      <c r="D37" s="3" t="s">
        <v>204</v>
      </c>
      <c r="E37" s="3" t="s">
        <v>26</v>
      </c>
      <c r="F37" s="3" t="s">
        <v>192</v>
      </c>
      <c r="G37" s="3"/>
      <c r="H37" s="3" t="s">
        <v>205</v>
      </c>
      <c r="I37" s="3"/>
      <c r="J37" s="3" t="s">
        <v>104</v>
      </c>
      <c r="K37" s="3" t="s">
        <v>31</v>
      </c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206</v>
      </c>
      <c r="B38" s="2" t="s">
        <v>207</v>
      </c>
      <c r="C38" s="2" t="s">
        <v>196</v>
      </c>
      <c r="D38" s="2" t="s">
        <v>208</v>
      </c>
      <c r="E38" s="2" t="s">
        <v>26</v>
      </c>
      <c r="F38" s="2" t="s">
        <v>192</v>
      </c>
      <c r="G38" s="2"/>
      <c r="H38" s="2" t="s">
        <v>209</v>
      </c>
      <c r="I38" s="2"/>
      <c r="J38" s="2" t="s">
        <v>104</v>
      </c>
      <c r="K38" s="2" t="s">
        <v>31</v>
      </c>
      <c r="L38" s="2"/>
      <c r="M38" s="2"/>
      <c r="N38" s="2"/>
      <c r="O38" s="2"/>
      <c r="P38" s="2"/>
      <c r="Q38" s="2"/>
      <c r="R38" s="2"/>
      <c r="S38" s="2"/>
    </row>
    <row r="39" spans="1:19" x14ac:dyDescent="0.25">
      <c r="A39" s="3" t="s">
        <v>210</v>
      </c>
      <c r="B39" s="3" t="s">
        <v>211</v>
      </c>
      <c r="C39" s="3" t="s">
        <v>165</v>
      </c>
      <c r="D39" s="3" t="s">
        <v>212</v>
      </c>
      <c r="E39" s="3" t="s">
        <v>26</v>
      </c>
      <c r="F39" s="3" t="s">
        <v>143</v>
      </c>
      <c r="G39" s="3"/>
      <c r="H39" s="3" t="s">
        <v>213</v>
      </c>
      <c r="I39" s="3"/>
      <c r="J39" s="3" t="s">
        <v>104</v>
      </c>
      <c r="K39" s="3" t="s">
        <v>31</v>
      </c>
      <c r="L39" s="3"/>
      <c r="M39" s="3"/>
      <c r="N39" s="3"/>
      <c r="O39" s="3"/>
      <c r="P39" s="3"/>
      <c r="Q39" s="3"/>
      <c r="R39" s="3"/>
      <c r="S39" s="3"/>
    </row>
    <row r="40" spans="1:19" x14ac:dyDescent="0.25">
      <c r="A40" s="2" t="s">
        <v>214</v>
      </c>
      <c r="B40" s="2" t="s">
        <v>215</v>
      </c>
      <c r="C40" s="2" t="s">
        <v>216</v>
      </c>
      <c r="D40" s="2" t="s">
        <v>25</v>
      </c>
      <c r="E40" s="2" t="s">
        <v>26</v>
      </c>
      <c r="F40" s="2" t="s">
        <v>217</v>
      </c>
      <c r="G40" s="2"/>
      <c r="H40" s="2" t="s">
        <v>218</v>
      </c>
      <c r="I40" s="2"/>
      <c r="J40" s="2" t="s">
        <v>104</v>
      </c>
      <c r="K40" s="2" t="s">
        <v>31</v>
      </c>
      <c r="L40" s="2"/>
      <c r="M40" s="2"/>
      <c r="N40" s="2"/>
      <c r="O40" s="2"/>
      <c r="P40" s="2"/>
      <c r="Q40" s="2"/>
      <c r="R40" s="2"/>
      <c r="S40" s="2"/>
    </row>
    <row r="41" spans="1:19" x14ac:dyDescent="0.25">
      <c r="A41" s="3" t="s">
        <v>219</v>
      </c>
      <c r="B41" s="3" t="s">
        <v>220</v>
      </c>
      <c r="C41" s="3" t="s">
        <v>216</v>
      </c>
      <c r="D41" s="3" t="s">
        <v>107</v>
      </c>
      <c r="E41" s="3" t="s">
        <v>26</v>
      </c>
      <c r="F41" s="3" t="s">
        <v>217</v>
      </c>
      <c r="G41" s="3"/>
      <c r="H41" s="3" t="s">
        <v>221</v>
      </c>
      <c r="I41" s="3"/>
      <c r="J41" s="3" t="s">
        <v>104</v>
      </c>
      <c r="K41" s="3" t="s">
        <v>31</v>
      </c>
      <c r="L41" s="3"/>
      <c r="M41" s="3"/>
      <c r="N41" s="3"/>
      <c r="O41" s="3"/>
      <c r="P41" s="3"/>
      <c r="Q41" s="3"/>
      <c r="R41" s="3"/>
      <c r="S41" s="3"/>
    </row>
    <row r="42" spans="1:19" x14ac:dyDescent="0.25">
      <c r="A42" s="2" t="s">
        <v>222</v>
      </c>
      <c r="B42" s="2" t="s">
        <v>223</v>
      </c>
      <c r="C42" s="2" t="s">
        <v>224</v>
      </c>
      <c r="D42" s="2" t="s">
        <v>225</v>
      </c>
      <c r="E42" s="2" t="s">
        <v>26</v>
      </c>
      <c r="F42" s="2" t="s">
        <v>226</v>
      </c>
      <c r="G42" s="2"/>
      <c r="H42" s="2" t="s">
        <v>227</v>
      </c>
      <c r="I42" s="2"/>
      <c r="J42" s="2" t="s">
        <v>104</v>
      </c>
      <c r="K42" s="2" t="s">
        <v>31</v>
      </c>
      <c r="L42" s="2"/>
      <c r="M42" s="2"/>
      <c r="N42" s="2"/>
      <c r="O42" s="2"/>
      <c r="P42" s="2"/>
      <c r="Q42" s="2"/>
      <c r="R42" s="2"/>
      <c r="S42" s="2"/>
    </row>
    <row r="43" spans="1:19" x14ac:dyDescent="0.25">
      <c r="A43" s="3" t="s">
        <v>228</v>
      </c>
      <c r="B43" s="3" t="s">
        <v>229</v>
      </c>
      <c r="C43" s="3" t="s">
        <v>230</v>
      </c>
      <c r="D43" s="3" t="s">
        <v>171</v>
      </c>
      <c r="E43" s="3" t="s">
        <v>26</v>
      </c>
      <c r="F43" s="3" t="s">
        <v>226</v>
      </c>
      <c r="G43" s="3"/>
      <c r="H43" s="3" t="s">
        <v>231</v>
      </c>
      <c r="I43" s="3"/>
      <c r="J43" s="3" t="s">
        <v>104</v>
      </c>
      <c r="K43" s="3" t="s">
        <v>31</v>
      </c>
      <c r="L43" s="3"/>
      <c r="M43" s="3"/>
      <c r="N43" s="3"/>
      <c r="O43" s="3"/>
      <c r="P43" s="3"/>
      <c r="Q43" s="3"/>
      <c r="R43" s="3"/>
      <c r="S43" s="3"/>
    </row>
    <row r="44" spans="1:19" x14ac:dyDescent="0.25">
      <c r="A44" s="2" t="s">
        <v>232</v>
      </c>
      <c r="B44" s="2" t="s">
        <v>233</v>
      </c>
      <c r="C44" s="2" t="s">
        <v>224</v>
      </c>
      <c r="D44" s="2" t="s">
        <v>234</v>
      </c>
      <c r="E44" s="2" t="s">
        <v>26</v>
      </c>
      <c r="F44" s="2" t="s">
        <v>226</v>
      </c>
      <c r="G44" s="2"/>
      <c r="H44" s="2" t="s">
        <v>235</v>
      </c>
      <c r="I44" s="2"/>
      <c r="J44" s="2" t="s">
        <v>104</v>
      </c>
      <c r="K44" s="2" t="s">
        <v>31</v>
      </c>
      <c r="L44" s="2"/>
      <c r="M44" s="2"/>
      <c r="N44" s="2"/>
      <c r="O44" s="2"/>
      <c r="P44" s="2"/>
      <c r="Q44" s="2"/>
      <c r="R44" s="2"/>
      <c r="S44" s="2"/>
    </row>
    <row r="45" spans="1:19" x14ac:dyDescent="0.25">
      <c r="A45" s="3" t="s">
        <v>236</v>
      </c>
      <c r="B45" s="3" t="s">
        <v>237</v>
      </c>
      <c r="C45" s="3" t="s">
        <v>147</v>
      </c>
      <c r="D45" s="3" t="s">
        <v>200</v>
      </c>
      <c r="E45" s="3" t="s">
        <v>26</v>
      </c>
      <c r="F45" s="3" t="s">
        <v>149</v>
      </c>
      <c r="G45" s="3"/>
      <c r="H45" s="3" t="s">
        <v>238</v>
      </c>
      <c r="I45" s="3"/>
      <c r="J45" s="3" t="s">
        <v>104</v>
      </c>
      <c r="K45" s="3" t="s">
        <v>31</v>
      </c>
      <c r="L45" s="3"/>
      <c r="M45" s="3"/>
      <c r="N45" s="3"/>
      <c r="O45" s="3"/>
      <c r="P45" s="3"/>
      <c r="Q45" s="3"/>
      <c r="R45" s="3"/>
      <c r="S45" s="3"/>
    </row>
    <row r="46" spans="1:19" x14ac:dyDescent="0.25">
      <c r="A46" s="2" t="s">
        <v>239</v>
      </c>
      <c r="B46" s="2" t="s">
        <v>240</v>
      </c>
      <c r="C46" s="2" t="s">
        <v>147</v>
      </c>
      <c r="D46" s="2" t="s">
        <v>241</v>
      </c>
      <c r="E46" s="2" t="s">
        <v>26</v>
      </c>
      <c r="F46" s="2" t="s">
        <v>149</v>
      </c>
      <c r="G46" s="2"/>
      <c r="H46" s="2" t="s">
        <v>242</v>
      </c>
      <c r="I46" s="2"/>
      <c r="J46" s="2" t="s">
        <v>104</v>
      </c>
      <c r="K46" s="2" t="s">
        <v>31</v>
      </c>
      <c r="L46" s="2"/>
      <c r="M46" s="2"/>
      <c r="N46" s="2"/>
      <c r="O46" s="2"/>
      <c r="P46" s="2"/>
      <c r="Q46" s="2"/>
      <c r="R46" s="2"/>
      <c r="S46" s="2"/>
    </row>
    <row r="47" spans="1:19" x14ac:dyDescent="0.25">
      <c r="A47" s="3" t="s">
        <v>243</v>
      </c>
      <c r="B47" s="3" t="s">
        <v>244</v>
      </c>
      <c r="C47" s="3" t="s">
        <v>34</v>
      </c>
      <c r="D47" s="3" t="s">
        <v>45</v>
      </c>
      <c r="E47" s="3" t="s">
        <v>245</v>
      </c>
      <c r="F47" s="3"/>
      <c r="G47" s="3" t="s">
        <v>27</v>
      </c>
      <c r="H47" s="3" t="s">
        <v>246</v>
      </c>
      <c r="I47" s="3" t="s">
        <v>247</v>
      </c>
      <c r="J47" s="3" t="s">
        <v>30</v>
      </c>
      <c r="K47" s="3" t="s">
        <v>31</v>
      </c>
      <c r="L47" s="3"/>
      <c r="M47" s="3"/>
      <c r="N47" s="3"/>
      <c r="O47" s="3"/>
      <c r="P47" s="3"/>
      <c r="Q47" s="3"/>
      <c r="R47" s="3"/>
      <c r="S47" s="3"/>
    </row>
    <row r="48" spans="1:19" x14ac:dyDescent="0.25">
      <c r="A48" s="2" t="s">
        <v>248</v>
      </c>
      <c r="B48" s="2" t="s">
        <v>249</v>
      </c>
      <c r="C48" s="2" t="s">
        <v>34</v>
      </c>
      <c r="D48" s="2" t="s">
        <v>25</v>
      </c>
      <c r="E48" s="2" t="s">
        <v>245</v>
      </c>
      <c r="F48" s="2"/>
      <c r="G48" s="2" t="s">
        <v>27</v>
      </c>
      <c r="H48" s="2" t="s">
        <v>250</v>
      </c>
      <c r="I48" s="2" t="s">
        <v>251</v>
      </c>
      <c r="J48" s="2" t="s">
        <v>30</v>
      </c>
      <c r="K48" s="2" t="s">
        <v>31</v>
      </c>
      <c r="L48" s="2"/>
      <c r="M48" s="2"/>
      <c r="N48" s="2"/>
      <c r="O48" s="2"/>
      <c r="P48" s="2"/>
      <c r="Q48" s="2"/>
      <c r="R48" s="2"/>
      <c r="S48" s="2"/>
    </row>
    <row r="49" spans="1:19" x14ac:dyDescent="0.25">
      <c r="A49" s="3" t="s">
        <v>252</v>
      </c>
      <c r="B49" s="3" t="s">
        <v>253</v>
      </c>
      <c r="C49" s="3" t="s">
        <v>254</v>
      </c>
      <c r="D49" s="3" t="s">
        <v>255</v>
      </c>
      <c r="E49" s="3" t="s">
        <v>245</v>
      </c>
      <c r="F49" s="3"/>
      <c r="G49" s="3" t="s">
        <v>62</v>
      </c>
      <c r="H49" s="3" t="s">
        <v>256</v>
      </c>
      <c r="I49" s="3" t="s">
        <v>257</v>
      </c>
      <c r="J49" s="3" t="s">
        <v>30</v>
      </c>
      <c r="K49" s="3" t="s">
        <v>31</v>
      </c>
      <c r="L49" s="3"/>
      <c r="M49" s="3"/>
      <c r="N49" s="3"/>
      <c r="O49" s="3"/>
      <c r="P49" s="3"/>
      <c r="Q49" s="3"/>
      <c r="R49" s="3"/>
      <c r="S49" s="3"/>
    </row>
    <row r="50" spans="1:19" x14ac:dyDescent="0.25">
      <c r="A50" s="2" t="s">
        <v>258</v>
      </c>
      <c r="B50" s="2" t="s">
        <v>259</v>
      </c>
      <c r="C50" s="2" t="s">
        <v>72</v>
      </c>
      <c r="D50" s="2" t="s">
        <v>260</v>
      </c>
      <c r="E50" s="2" t="s">
        <v>245</v>
      </c>
      <c r="F50" s="2"/>
      <c r="G50" s="2" t="s">
        <v>62</v>
      </c>
      <c r="H50" s="2" t="s">
        <v>261</v>
      </c>
      <c r="I50" s="2" t="s">
        <v>262</v>
      </c>
      <c r="J50" s="2" t="s">
        <v>30</v>
      </c>
      <c r="K50" s="2" t="s">
        <v>31</v>
      </c>
      <c r="L50" s="2"/>
      <c r="M50" s="2"/>
      <c r="N50" s="2"/>
      <c r="O50" s="2"/>
      <c r="P50" s="2"/>
      <c r="Q50" s="2"/>
      <c r="R50" s="2"/>
      <c r="S50" s="2"/>
    </row>
    <row r="51" spans="1:19" x14ac:dyDescent="0.25">
      <c r="A51" s="3" t="s">
        <v>263</v>
      </c>
      <c r="B51" s="3" t="s">
        <v>264</v>
      </c>
      <c r="C51" s="3" t="s">
        <v>265</v>
      </c>
      <c r="D51" s="3" t="s">
        <v>73</v>
      </c>
      <c r="E51" s="3" t="s">
        <v>245</v>
      </c>
      <c r="F51" s="3"/>
      <c r="G51" s="3" t="s">
        <v>85</v>
      </c>
      <c r="H51" s="3" t="s">
        <v>266</v>
      </c>
      <c r="I51" s="3" t="s">
        <v>267</v>
      </c>
      <c r="J51" s="3" t="s">
        <v>30</v>
      </c>
      <c r="K51" s="3" t="s">
        <v>31</v>
      </c>
      <c r="L51" s="3"/>
      <c r="M51" s="3"/>
      <c r="N51" s="3"/>
      <c r="O51" s="3"/>
      <c r="P51" s="3"/>
      <c r="Q51" s="3"/>
      <c r="R51" s="3"/>
      <c r="S51" s="3"/>
    </row>
    <row r="52" spans="1:19" x14ac:dyDescent="0.25">
      <c r="A52" s="2" t="s">
        <v>268</v>
      </c>
      <c r="B52" s="2" t="s">
        <v>269</v>
      </c>
      <c r="C52" s="2" t="s">
        <v>100</v>
      </c>
      <c r="D52" s="2" t="s">
        <v>270</v>
      </c>
      <c r="E52" s="2" t="s">
        <v>245</v>
      </c>
      <c r="F52" s="2" t="s">
        <v>108</v>
      </c>
      <c r="G52" s="2"/>
      <c r="H52" s="2" t="s">
        <v>271</v>
      </c>
      <c r="I52" s="2"/>
      <c r="J52" s="2" t="s">
        <v>104</v>
      </c>
      <c r="K52" s="2" t="s">
        <v>31</v>
      </c>
      <c r="L52" s="2"/>
      <c r="M52" s="2"/>
      <c r="N52" s="2"/>
      <c r="O52" s="2"/>
      <c r="P52" s="2"/>
      <c r="Q52" s="2"/>
      <c r="R52" s="2"/>
      <c r="S52" s="2"/>
    </row>
    <row r="53" spans="1:19" x14ac:dyDescent="0.25">
      <c r="A53" s="3" t="s">
        <v>272</v>
      </c>
      <c r="B53" s="3" t="s">
        <v>273</v>
      </c>
      <c r="C53" s="3" t="s">
        <v>224</v>
      </c>
      <c r="D53" s="3" t="s">
        <v>274</v>
      </c>
      <c r="E53" s="3" t="s">
        <v>245</v>
      </c>
      <c r="F53" s="3" t="s">
        <v>108</v>
      </c>
      <c r="G53" s="3"/>
      <c r="H53" s="3" t="s">
        <v>275</v>
      </c>
      <c r="I53" s="3"/>
      <c r="J53" s="3" t="s">
        <v>104</v>
      </c>
      <c r="K53" s="3" t="s">
        <v>31</v>
      </c>
      <c r="L53" s="3"/>
      <c r="M53" s="3"/>
      <c r="N53" s="3"/>
      <c r="O53" s="3"/>
      <c r="P53" s="3"/>
      <c r="Q53" s="3"/>
      <c r="R53" s="3"/>
      <c r="S53" s="3"/>
    </row>
    <row r="54" spans="1:19" x14ac:dyDescent="0.25">
      <c r="A54" s="2" t="s">
        <v>276</v>
      </c>
      <c r="B54" s="2" t="s">
        <v>277</v>
      </c>
      <c r="C54" s="2" t="s">
        <v>278</v>
      </c>
      <c r="D54" s="2" t="s">
        <v>279</v>
      </c>
      <c r="E54" s="2" t="s">
        <v>245</v>
      </c>
      <c r="F54" s="2" t="s">
        <v>143</v>
      </c>
      <c r="G54" s="2"/>
      <c r="H54" s="2" t="s">
        <v>280</v>
      </c>
      <c r="I54" s="2"/>
      <c r="J54" s="2" t="s">
        <v>104</v>
      </c>
      <c r="K54" s="2" t="s">
        <v>31</v>
      </c>
      <c r="L54" s="2"/>
      <c r="M54" s="2"/>
      <c r="N54" s="2"/>
      <c r="O54" s="2"/>
      <c r="P54" s="2"/>
      <c r="Q54" s="2"/>
      <c r="R54" s="2"/>
      <c r="S54" s="2"/>
    </row>
    <row r="55" spans="1:19" x14ac:dyDescent="0.25">
      <c r="A55" s="3" t="s">
        <v>281</v>
      </c>
      <c r="B55" s="3" t="s">
        <v>282</v>
      </c>
      <c r="C55" s="3" t="s">
        <v>283</v>
      </c>
      <c r="D55" s="3" t="s">
        <v>284</v>
      </c>
      <c r="E55" s="3" t="s">
        <v>245</v>
      </c>
      <c r="F55" s="3" t="s">
        <v>278</v>
      </c>
      <c r="G55" s="3"/>
      <c r="H55" s="3" t="s">
        <v>285</v>
      </c>
      <c r="I55" s="3"/>
      <c r="J55" s="3" t="s">
        <v>104</v>
      </c>
      <c r="K55" s="3" t="s">
        <v>31</v>
      </c>
      <c r="L55" s="3"/>
      <c r="M55" s="3"/>
      <c r="N55" s="3"/>
      <c r="O55" s="3"/>
      <c r="P55" s="3"/>
      <c r="Q55" s="3"/>
      <c r="R55" s="3"/>
      <c r="S55" s="3"/>
    </row>
    <row r="56" spans="1:19" x14ac:dyDescent="0.25">
      <c r="A56" s="2" t="s">
        <v>286</v>
      </c>
      <c r="B56" s="2" t="s">
        <v>287</v>
      </c>
      <c r="C56" s="2" t="s">
        <v>288</v>
      </c>
      <c r="D56" s="2" t="s">
        <v>289</v>
      </c>
      <c r="E56" s="2" t="s">
        <v>245</v>
      </c>
      <c r="F56" s="2" t="s">
        <v>290</v>
      </c>
      <c r="G56" s="2"/>
      <c r="H56" s="2" t="s">
        <v>291</v>
      </c>
      <c r="I56" s="2"/>
      <c r="J56" s="2" t="s">
        <v>104</v>
      </c>
      <c r="K56" s="2" t="s">
        <v>31</v>
      </c>
      <c r="L56" s="2"/>
      <c r="M56" s="2"/>
      <c r="N56" s="2"/>
      <c r="O56" s="2"/>
      <c r="P56" s="2"/>
      <c r="Q56" s="2"/>
      <c r="R56" s="2"/>
      <c r="S56" s="2"/>
    </row>
    <row r="57" spans="1:19" x14ac:dyDescent="0.25">
      <c r="A57" s="3" t="s">
        <v>292</v>
      </c>
      <c r="B57" s="3" t="s">
        <v>293</v>
      </c>
      <c r="C57" s="3" t="s">
        <v>294</v>
      </c>
      <c r="D57" s="3" t="s">
        <v>25</v>
      </c>
      <c r="E57" s="3" t="s">
        <v>245</v>
      </c>
      <c r="F57" s="3" t="s">
        <v>295</v>
      </c>
      <c r="G57" s="3"/>
      <c r="H57" s="3" t="s">
        <v>296</v>
      </c>
      <c r="I57" s="3"/>
      <c r="J57" s="3" t="s">
        <v>104</v>
      </c>
      <c r="K57" s="3" t="s">
        <v>31</v>
      </c>
      <c r="L57" s="3"/>
      <c r="M57" s="3"/>
      <c r="N57" s="3"/>
      <c r="O57" s="3"/>
      <c r="P57" s="3"/>
      <c r="Q57" s="3"/>
      <c r="R57" s="3"/>
      <c r="S57" s="3"/>
    </row>
    <row r="58" spans="1:19" x14ac:dyDescent="0.25">
      <c r="A58" s="2" t="s">
        <v>297</v>
      </c>
      <c r="B58" s="2" t="s">
        <v>298</v>
      </c>
      <c r="C58" s="2" t="s">
        <v>294</v>
      </c>
      <c r="D58" s="2" t="s">
        <v>25</v>
      </c>
      <c r="E58" s="2" t="s">
        <v>245</v>
      </c>
      <c r="F58" s="2" t="s">
        <v>295</v>
      </c>
      <c r="G58" s="2"/>
      <c r="H58" s="2" t="s">
        <v>299</v>
      </c>
      <c r="I58" s="2"/>
      <c r="J58" s="2" t="s">
        <v>104</v>
      </c>
      <c r="K58" s="2" t="s">
        <v>31</v>
      </c>
      <c r="L58" s="2"/>
      <c r="M58" s="2"/>
      <c r="N58" s="2"/>
      <c r="O58" s="2"/>
      <c r="P58" s="2"/>
      <c r="Q58" s="2"/>
      <c r="R58" s="2"/>
      <c r="S58" s="2"/>
    </row>
    <row r="59" spans="1:19" x14ac:dyDescent="0.25">
      <c r="A59" s="3" t="s">
        <v>300</v>
      </c>
      <c r="B59" s="3" t="s">
        <v>301</v>
      </c>
      <c r="C59" s="3" t="s">
        <v>226</v>
      </c>
      <c r="D59" s="3" t="s">
        <v>302</v>
      </c>
      <c r="E59" s="3"/>
      <c r="F59" s="3"/>
      <c r="G59" s="3" t="s">
        <v>27</v>
      </c>
      <c r="H59" s="3" t="s">
        <v>303</v>
      </c>
      <c r="I59" s="3"/>
      <c r="J59" s="3" t="s">
        <v>304</v>
      </c>
      <c r="K59" s="3" t="s">
        <v>31</v>
      </c>
      <c r="L59" s="3"/>
      <c r="M59" s="3"/>
      <c r="N59" s="3"/>
      <c r="O59" s="3"/>
      <c r="P59" s="3"/>
      <c r="Q59" s="3"/>
      <c r="R59" s="3"/>
      <c r="S59" s="3"/>
    </row>
    <row r="60" spans="1:19" x14ac:dyDescent="0.25">
      <c r="A60" s="2" t="s">
        <v>305</v>
      </c>
      <c r="B60" s="2" t="s">
        <v>306</v>
      </c>
      <c r="C60" s="2" t="s">
        <v>307</v>
      </c>
      <c r="D60" s="2" t="s">
        <v>308</v>
      </c>
      <c r="E60" s="2"/>
      <c r="F60" s="2"/>
      <c r="G60" s="2" t="s">
        <v>27</v>
      </c>
      <c r="H60" s="2" t="s">
        <v>309</v>
      </c>
      <c r="I60" s="2"/>
      <c r="J60" s="2" t="s">
        <v>310</v>
      </c>
      <c r="K60" s="2" t="s">
        <v>31</v>
      </c>
      <c r="L60" s="2"/>
      <c r="M60" s="2"/>
      <c r="N60" s="2"/>
      <c r="O60" s="2"/>
      <c r="P60" s="2"/>
      <c r="Q60" s="2"/>
      <c r="R60" s="2"/>
      <c r="S60" s="2"/>
    </row>
    <row r="61" spans="1:19" x14ac:dyDescent="0.25">
      <c r="A61" s="3" t="s">
        <v>311</v>
      </c>
      <c r="B61" s="3" t="s">
        <v>312</v>
      </c>
      <c r="C61" s="3" t="s">
        <v>307</v>
      </c>
      <c r="D61" s="3" t="s">
        <v>313</v>
      </c>
      <c r="E61" s="3"/>
      <c r="F61" s="3"/>
      <c r="G61" s="3" t="s">
        <v>27</v>
      </c>
      <c r="H61" s="3" t="s">
        <v>314</v>
      </c>
      <c r="I61" s="3"/>
      <c r="J61" s="3" t="s">
        <v>304</v>
      </c>
      <c r="K61" s="3" t="s">
        <v>31</v>
      </c>
      <c r="L61" s="3"/>
      <c r="M61" s="3"/>
      <c r="N61" s="3"/>
      <c r="O61" s="3"/>
      <c r="P61" s="3"/>
      <c r="Q61" s="3"/>
      <c r="R61" s="3"/>
      <c r="S61" s="3"/>
    </row>
    <row r="62" spans="1:19" x14ac:dyDescent="0.25">
      <c r="A62" s="2" t="s">
        <v>315</v>
      </c>
      <c r="B62" s="2" t="s">
        <v>316</v>
      </c>
      <c r="C62" s="2" t="s">
        <v>136</v>
      </c>
      <c r="D62" s="2" t="s">
        <v>317</v>
      </c>
      <c r="E62" s="2"/>
      <c r="F62" s="2"/>
      <c r="G62" s="2" t="s">
        <v>27</v>
      </c>
      <c r="H62" s="2" t="s">
        <v>318</v>
      </c>
      <c r="I62" s="2"/>
      <c r="J62" s="2" t="s">
        <v>304</v>
      </c>
      <c r="K62" s="2" t="s">
        <v>31</v>
      </c>
      <c r="L62" s="2"/>
      <c r="M62" s="2"/>
      <c r="N62" s="2"/>
      <c r="O62" s="2"/>
      <c r="P62" s="2"/>
      <c r="Q62" s="2"/>
      <c r="R62" s="2"/>
      <c r="S62" s="2"/>
    </row>
    <row r="63" spans="1:19" x14ac:dyDescent="0.25">
      <c r="A63" s="3" t="s">
        <v>319</v>
      </c>
      <c r="B63" s="3" t="s">
        <v>320</v>
      </c>
      <c r="C63" s="3" t="s">
        <v>321</v>
      </c>
      <c r="D63" s="3" t="s">
        <v>322</v>
      </c>
      <c r="E63" s="3"/>
      <c r="F63" s="3"/>
      <c r="G63" s="3" t="s">
        <v>27</v>
      </c>
      <c r="H63" s="3" t="s">
        <v>323</v>
      </c>
      <c r="I63" s="3"/>
      <c r="J63" s="3" t="s">
        <v>310</v>
      </c>
      <c r="K63" s="3" t="s">
        <v>31</v>
      </c>
      <c r="L63" s="3"/>
      <c r="M63" s="3"/>
      <c r="N63" s="3"/>
      <c r="O63" s="3"/>
      <c r="P63" s="3"/>
      <c r="Q63" s="3"/>
      <c r="R63" s="3"/>
      <c r="S63" s="3"/>
    </row>
    <row r="64" spans="1:19" x14ac:dyDescent="0.25">
      <c r="A64" s="2" t="s">
        <v>324</v>
      </c>
      <c r="B64" s="2" t="s">
        <v>325</v>
      </c>
      <c r="C64" s="2" t="s">
        <v>326</v>
      </c>
      <c r="D64" s="2" t="s">
        <v>327</v>
      </c>
      <c r="E64" s="2"/>
      <c r="F64" s="2"/>
      <c r="G64" s="2" t="s">
        <v>27</v>
      </c>
      <c r="H64" s="2" t="s">
        <v>328</v>
      </c>
      <c r="I64" s="2"/>
      <c r="J64" s="2" t="s">
        <v>310</v>
      </c>
      <c r="K64" s="2" t="s">
        <v>31</v>
      </c>
      <c r="L64" s="2"/>
      <c r="M64" s="2"/>
      <c r="N64" s="2"/>
      <c r="O64" s="2"/>
      <c r="P64" s="2"/>
      <c r="Q64" s="2"/>
      <c r="R64" s="2"/>
      <c r="S64" s="2"/>
    </row>
    <row r="65" spans="1:19" x14ac:dyDescent="0.25">
      <c r="A65" s="3" t="s">
        <v>329</v>
      </c>
      <c r="B65" s="3" t="s">
        <v>330</v>
      </c>
      <c r="C65" s="3" t="s">
        <v>331</v>
      </c>
      <c r="D65" s="3" t="s">
        <v>332</v>
      </c>
      <c r="E65" s="3"/>
      <c r="F65" s="3"/>
      <c r="G65" s="3" t="s">
        <v>27</v>
      </c>
      <c r="H65" s="3" t="s">
        <v>333</v>
      </c>
      <c r="I65" s="3"/>
      <c r="J65" s="3" t="s">
        <v>304</v>
      </c>
      <c r="K65" s="3" t="s">
        <v>31</v>
      </c>
      <c r="L65" s="3"/>
      <c r="M65" s="3"/>
      <c r="N65" s="3"/>
      <c r="O65" s="3"/>
      <c r="P65" s="3"/>
      <c r="Q65" s="3"/>
      <c r="R65" s="3"/>
      <c r="S65" s="3"/>
    </row>
    <row r="66" spans="1:19" x14ac:dyDescent="0.25">
      <c r="A66" s="2" t="s">
        <v>334</v>
      </c>
      <c r="B66" s="2" t="s">
        <v>335</v>
      </c>
      <c r="C66" s="2" t="s">
        <v>336</v>
      </c>
      <c r="D66" s="2" t="s">
        <v>313</v>
      </c>
      <c r="E66" s="2"/>
      <c r="F66" s="2"/>
      <c r="G66" s="2" t="s">
        <v>27</v>
      </c>
      <c r="H66" s="2" t="s">
        <v>337</v>
      </c>
      <c r="I66" s="2"/>
      <c r="J66" s="2" t="s">
        <v>304</v>
      </c>
      <c r="K66" s="2" t="s">
        <v>31</v>
      </c>
      <c r="L66" s="2"/>
      <c r="M66" s="2"/>
      <c r="N66" s="2"/>
      <c r="O66" s="2"/>
      <c r="P66" s="2"/>
      <c r="Q66" s="2"/>
      <c r="R66" s="2"/>
      <c r="S66" s="2"/>
    </row>
    <row r="67" spans="1:19" x14ac:dyDescent="0.25">
      <c r="A67" s="3" t="s">
        <v>338</v>
      </c>
      <c r="B67" s="3" t="s">
        <v>339</v>
      </c>
      <c r="C67" s="3" t="s">
        <v>128</v>
      </c>
      <c r="D67" s="3" t="s">
        <v>340</v>
      </c>
      <c r="E67" s="3"/>
      <c r="F67" s="3"/>
      <c r="G67" s="3" t="s">
        <v>27</v>
      </c>
      <c r="H67" s="3" t="s">
        <v>341</v>
      </c>
      <c r="I67" s="3"/>
      <c r="J67" s="3" t="s">
        <v>310</v>
      </c>
      <c r="K67" s="3" t="s">
        <v>31</v>
      </c>
      <c r="L67" s="3"/>
      <c r="M67" s="3"/>
      <c r="N67" s="3"/>
      <c r="O67" s="3"/>
      <c r="P67" s="3"/>
      <c r="Q67" s="3"/>
      <c r="R67" s="3"/>
      <c r="S67" s="3"/>
    </row>
    <row r="68" spans="1:19" x14ac:dyDescent="0.25">
      <c r="A68" s="2" t="s">
        <v>342</v>
      </c>
      <c r="B68" s="2" t="s">
        <v>343</v>
      </c>
      <c r="C68" s="2" t="s">
        <v>128</v>
      </c>
      <c r="D68" s="2" t="s">
        <v>344</v>
      </c>
      <c r="E68" s="2"/>
      <c r="F68" s="2"/>
      <c r="G68" s="2" t="s">
        <v>27</v>
      </c>
      <c r="H68" s="2" t="s">
        <v>345</v>
      </c>
      <c r="I68" s="2"/>
      <c r="J68" s="2" t="s">
        <v>304</v>
      </c>
      <c r="K68" s="2" t="s">
        <v>31</v>
      </c>
      <c r="L68" s="2"/>
      <c r="M68" s="2"/>
      <c r="N68" s="2"/>
      <c r="O68" s="2"/>
      <c r="P68" s="2"/>
      <c r="Q68" s="2"/>
      <c r="R68" s="2"/>
      <c r="S68" s="2"/>
    </row>
    <row r="69" spans="1:19" x14ac:dyDescent="0.25">
      <c r="A69" s="3" t="s">
        <v>346</v>
      </c>
      <c r="B69" s="3" t="s">
        <v>347</v>
      </c>
      <c r="C69" s="3" t="s">
        <v>128</v>
      </c>
      <c r="D69" s="3" t="s">
        <v>348</v>
      </c>
      <c r="E69" s="3"/>
      <c r="F69" s="3"/>
      <c r="G69" s="3" t="s">
        <v>27</v>
      </c>
      <c r="H69" s="3" t="s">
        <v>349</v>
      </c>
      <c r="I69" s="3"/>
      <c r="J69" s="3" t="s">
        <v>310</v>
      </c>
      <c r="K69" s="3" t="s">
        <v>31</v>
      </c>
      <c r="L69" s="3"/>
      <c r="M69" s="3"/>
      <c r="N69" s="3"/>
      <c r="O69" s="3"/>
      <c r="P69" s="3"/>
      <c r="Q69" s="3"/>
      <c r="R69" s="3"/>
      <c r="S69" s="3"/>
    </row>
    <row r="70" spans="1:19" x14ac:dyDescent="0.25">
      <c r="A70" s="2" t="s">
        <v>350</v>
      </c>
      <c r="B70" s="2" t="s">
        <v>351</v>
      </c>
      <c r="C70" s="2" t="s">
        <v>352</v>
      </c>
      <c r="D70" s="2" t="s">
        <v>353</v>
      </c>
      <c r="E70" s="2"/>
      <c r="F70" s="2"/>
      <c r="G70" s="2" t="s">
        <v>27</v>
      </c>
      <c r="H70" s="2" t="s">
        <v>354</v>
      </c>
      <c r="I70" s="2"/>
      <c r="J70" s="2" t="s">
        <v>310</v>
      </c>
      <c r="K70" s="2" t="s">
        <v>31</v>
      </c>
      <c r="L70" s="2"/>
      <c r="M70" s="2"/>
      <c r="N70" s="2"/>
      <c r="O70" s="2"/>
      <c r="P70" s="2"/>
      <c r="Q70" s="2"/>
      <c r="R70" s="2"/>
      <c r="S70" s="2"/>
    </row>
    <row r="71" spans="1:19" x14ac:dyDescent="0.25">
      <c r="A71" s="3" t="s">
        <v>355</v>
      </c>
      <c r="B71" s="3" t="s">
        <v>356</v>
      </c>
      <c r="C71" s="3" t="s">
        <v>34</v>
      </c>
      <c r="D71" s="3" t="s">
        <v>357</v>
      </c>
      <c r="E71" s="3"/>
      <c r="F71" s="3"/>
      <c r="G71" s="3" t="s">
        <v>27</v>
      </c>
      <c r="H71" s="3" t="s">
        <v>358</v>
      </c>
      <c r="I71" s="3"/>
      <c r="J71" s="3" t="s">
        <v>310</v>
      </c>
      <c r="K71" s="3" t="s">
        <v>31</v>
      </c>
      <c r="L71" s="3"/>
      <c r="M71" s="3"/>
      <c r="N71" s="3"/>
      <c r="O71" s="3"/>
      <c r="P71" s="3"/>
      <c r="Q71" s="3"/>
      <c r="R71" s="3"/>
      <c r="S71" s="3"/>
    </row>
    <row r="72" spans="1:19" x14ac:dyDescent="0.25">
      <c r="A72" s="2" t="s">
        <v>359</v>
      </c>
      <c r="B72" s="2" t="s">
        <v>360</v>
      </c>
      <c r="C72" s="2" t="s">
        <v>34</v>
      </c>
      <c r="D72" s="2" t="s">
        <v>361</v>
      </c>
      <c r="E72" s="2"/>
      <c r="F72" s="2"/>
      <c r="G72" s="2" t="s">
        <v>27</v>
      </c>
      <c r="H72" s="2" t="s">
        <v>362</v>
      </c>
      <c r="I72" s="2"/>
      <c r="J72" s="2" t="s">
        <v>304</v>
      </c>
      <c r="K72" s="2" t="s">
        <v>31</v>
      </c>
      <c r="L72" s="2"/>
      <c r="M72" s="2"/>
      <c r="N72" s="2"/>
      <c r="O72" s="2"/>
      <c r="P72" s="2"/>
      <c r="Q72" s="2"/>
      <c r="R72" s="2"/>
      <c r="S72" s="2"/>
    </row>
    <row r="73" spans="1:19" x14ac:dyDescent="0.25">
      <c r="A73" s="3" t="s">
        <v>363</v>
      </c>
      <c r="B73" s="3" t="s">
        <v>364</v>
      </c>
      <c r="C73" s="3" t="s">
        <v>34</v>
      </c>
      <c r="D73" s="3" t="s">
        <v>365</v>
      </c>
      <c r="E73" s="3"/>
      <c r="F73" s="3"/>
      <c r="G73" s="3" t="s">
        <v>27</v>
      </c>
      <c r="H73" s="3" t="s">
        <v>366</v>
      </c>
      <c r="I73" s="3"/>
      <c r="J73" s="3" t="s">
        <v>310</v>
      </c>
      <c r="K73" s="3" t="s">
        <v>31</v>
      </c>
      <c r="L73" s="3"/>
      <c r="M73" s="3"/>
      <c r="N73" s="3"/>
      <c r="O73" s="3"/>
      <c r="P73" s="3"/>
      <c r="Q73" s="3"/>
      <c r="R73" s="3"/>
      <c r="S73" s="3"/>
    </row>
    <row r="74" spans="1:19" x14ac:dyDescent="0.25">
      <c r="A74" s="2" t="s">
        <v>367</v>
      </c>
      <c r="B74" s="2" t="s">
        <v>368</v>
      </c>
      <c r="C74" s="2" t="s">
        <v>307</v>
      </c>
      <c r="D74" s="2" t="s">
        <v>369</v>
      </c>
      <c r="E74" s="2"/>
      <c r="F74" s="2"/>
      <c r="G74" s="2" t="s">
        <v>27</v>
      </c>
      <c r="H74" s="2" t="s">
        <v>370</v>
      </c>
      <c r="I74" s="2"/>
      <c r="J74" s="2" t="s">
        <v>304</v>
      </c>
      <c r="K74" s="2" t="s">
        <v>31</v>
      </c>
      <c r="L74" s="2"/>
      <c r="M74" s="2"/>
      <c r="N74" s="2"/>
      <c r="O74" s="2"/>
      <c r="P74" s="2"/>
      <c r="Q74" s="2"/>
      <c r="R74" s="2"/>
      <c r="S74" s="2"/>
    </row>
    <row r="75" spans="1:19" x14ac:dyDescent="0.25">
      <c r="A75" s="3" t="s">
        <v>371</v>
      </c>
      <c r="B75" s="3" t="s">
        <v>372</v>
      </c>
      <c r="C75" s="3" t="s">
        <v>307</v>
      </c>
      <c r="D75" s="3" t="s">
        <v>373</v>
      </c>
      <c r="E75" s="3"/>
      <c r="F75" s="3"/>
      <c r="G75" s="3" t="s">
        <v>27</v>
      </c>
      <c r="H75" s="3" t="s">
        <v>374</v>
      </c>
      <c r="I75" s="3"/>
      <c r="J75" s="3" t="s">
        <v>310</v>
      </c>
      <c r="K75" s="3" t="s">
        <v>31</v>
      </c>
      <c r="L75" s="3"/>
      <c r="M75" s="3"/>
      <c r="N75" s="3"/>
      <c r="O75" s="3"/>
      <c r="P75" s="3"/>
      <c r="Q75" s="3"/>
      <c r="R75" s="3"/>
      <c r="S75" s="3"/>
    </row>
    <row r="76" spans="1:19" x14ac:dyDescent="0.25">
      <c r="A76" s="2" t="s">
        <v>375</v>
      </c>
      <c r="B76" s="2" t="s">
        <v>376</v>
      </c>
      <c r="C76" s="2" t="s">
        <v>307</v>
      </c>
      <c r="D76" s="2" t="s">
        <v>344</v>
      </c>
      <c r="E76" s="2"/>
      <c r="F76" s="2"/>
      <c r="G76" s="2" t="s">
        <v>27</v>
      </c>
      <c r="H76" s="2" t="s">
        <v>377</v>
      </c>
      <c r="I76" s="2"/>
      <c r="J76" s="2" t="s">
        <v>304</v>
      </c>
      <c r="K76" s="2" t="s">
        <v>31</v>
      </c>
      <c r="L76" s="2"/>
      <c r="M76" s="2"/>
      <c r="N76" s="2"/>
      <c r="O76" s="2"/>
      <c r="P76" s="2"/>
      <c r="Q76" s="2"/>
      <c r="R76" s="2"/>
      <c r="S76" s="2"/>
    </row>
    <row r="77" spans="1:19" x14ac:dyDescent="0.25">
      <c r="A77" s="3" t="s">
        <v>378</v>
      </c>
      <c r="B77" s="3" t="s">
        <v>379</v>
      </c>
      <c r="C77" s="3" t="s">
        <v>307</v>
      </c>
      <c r="D77" s="3" t="s">
        <v>380</v>
      </c>
      <c r="E77" s="3"/>
      <c r="F77" s="3"/>
      <c r="G77" s="3" t="s">
        <v>27</v>
      </c>
      <c r="H77" s="3" t="s">
        <v>381</v>
      </c>
      <c r="I77" s="3"/>
      <c r="J77" s="3" t="s">
        <v>304</v>
      </c>
      <c r="K77" s="3" t="s">
        <v>31</v>
      </c>
      <c r="L77" s="3"/>
      <c r="M77" s="3"/>
      <c r="N77" s="3"/>
      <c r="O77" s="3"/>
      <c r="P77" s="3"/>
      <c r="Q77" s="3"/>
      <c r="R77" s="3"/>
      <c r="S77" s="3"/>
    </row>
    <row r="78" spans="1:19" x14ac:dyDescent="0.25">
      <c r="A78" s="2" t="s">
        <v>382</v>
      </c>
      <c r="B78" s="2" t="s">
        <v>383</v>
      </c>
      <c r="C78" s="2" t="s">
        <v>307</v>
      </c>
      <c r="D78" s="2" t="s">
        <v>384</v>
      </c>
      <c r="E78" s="2"/>
      <c r="F78" s="2"/>
      <c r="G78" s="2" t="s">
        <v>27</v>
      </c>
      <c r="H78" s="2" t="s">
        <v>385</v>
      </c>
      <c r="I78" s="2"/>
      <c r="J78" s="2" t="s">
        <v>304</v>
      </c>
      <c r="K78" s="2" t="s">
        <v>31</v>
      </c>
      <c r="L78" s="2"/>
      <c r="M78" s="2"/>
      <c r="N78" s="2"/>
      <c r="O78" s="2"/>
      <c r="P78" s="2"/>
      <c r="Q78" s="2"/>
      <c r="R78" s="2"/>
      <c r="S78" s="2"/>
    </row>
    <row r="79" spans="1:19" x14ac:dyDescent="0.25">
      <c r="A79" s="3" t="s">
        <v>386</v>
      </c>
      <c r="B79" s="3" t="s">
        <v>387</v>
      </c>
      <c r="C79" s="3" t="s">
        <v>388</v>
      </c>
      <c r="D79" s="3" t="s">
        <v>389</v>
      </c>
      <c r="E79" s="3"/>
      <c r="F79" s="3"/>
      <c r="G79" s="3" t="s">
        <v>27</v>
      </c>
      <c r="H79" s="3" t="s">
        <v>390</v>
      </c>
      <c r="I79" s="3"/>
      <c r="J79" s="3" t="s">
        <v>310</v>
      </c>
      <c r="K79" s="3" t="s">
        <v>31</v>
      </c>
      <c r="L79" s="3"/>
      <c r="M79" s="3"/>
      <c r="N79" s="3"/>
      <c r="O79" s="3"/>
      <c r="P79" s="3"/>
      <c r="Q79" s="3"/>
      <c r="R79" s="3"/>
      <c r="S79" s="3"/>
    </row>
    <row r="80" spans="1:19" x14ac:dyDescent="0.25">
      <c r="A80" s="2" t="s">
        <v>391</v>
      </c>
      <c r="B80" s="2" t="s">
        <v>392</v>
      </c>
      <c r="C80" s="2" t="s">
        <v>393</v>
      </c>
      <c r="D80" s="2" t="s">
        <v>394</v>
      </c>
      <c r="E80" s="2"/>
      <c r="F80" s="2"/>
      <c r="G80" s="2" t="s">
        <v>27</v>
      </c>
      <c r="H80" s="2" t="s">
        <v>395</v>
      </c>
      <c r="I80" s="2"/>
      <c r="J80" s="2" t="s">
        <v>310</v>
      </c>
      <c r="K80" s="2" t="s">
        <v>31</v>
      </c>
      <c r="L80" s="2"/>
      <c r="M80" s="2"/>
      <c r="N80" s="2"/>
      <c r="O80" s="2"/>
      <c r="P80" s="2"/>
      <c r="Q80" s="2"/>
      <c r="R80" s="2"/>
      <c r="S80" s="2"/>
    </row>
    <row r="81" spans="1:19" x14ac:dyDescent="0.25">
      <c r="A81" s="3" t="s">
        <v>396</v>
      </c>
      <c r="B81" s="3" t="s">
        <v>397</v>
      </c>
      <c r="C81" s="3" t="s">
        <v>278</v>
      </c>
      <c r="D81" s="3" t="s">
        <v>398</v>
      </c>
      <c r="E81" s="3"/>
      <c r="F81" s="3"/>
      <c r="G81" s="3" t="s">
        <v>27</v>
      </c>
      <c r="H81" s="3" t="s">
        <v>399</v>
      </c>
      <c r="I81" s="3"/>
      <c r="J81" s="3" t="s">
        <v>310</v>
      </c>
      <c r="K81" s="3" t="s">
        <v>31</v>
      </c>
      <c r="L81" s="3"/>
      <c r="M81" s="3"/>
      <c r="N81" s="3"/>
      <c r="O81" s="3"/>
      <c r="P81" s="3"/>
      <c r="Q81" s="3"/>
      <c r="R81" s="3"/>
      <c r="S81" s="3"/>
    </row>
    <row r="82" spans="1:19" x14ac:dyDescent="0.25">
      <c r="A82" s="2" t="s">
        <v>400</v>
      </c>
      <c r="B82" s="2" t="s">
        <v>401</v>
      </c>
      <c r="C82" s="2" t="s">
        <v>278</v>
      </c>
      <c r="D82" s="2" t="s">
        <v>402</v>
      </c>
      <c r="E82" s="2"/>
      <c r="F82" s="2"/>
      <c r="G82" s="2" t="s">
        <v>27</v>
      </c>
      <c r="H82" s="2" t="s">
        <v>403</v>
      </c>
      <c r="I82" s="2"/>
      <c r="J82" s="2" t="s">
        <v>310</v>
      </c>
      <c r="K82" s="2" t="s">
        <v>31</v>
      </c>
      <c r="L82" s="2"/>
      <c r="M82" s="2"/>
      <c r="N82" s="2"/>
      <c r="O82" s="2"/>
      <c r="P82" s="2"/>
      <c r="Q82" s="2"/>
      <c r="R82" s="2"/>
      <c r="S82" s="2"/>
    </row>
    <row r="83" spans="1:19" x14ac:dyDescent="0.25">
      <c r="A83" s="3" t="s">
        <v>404</v>
      </c>
      <c r="B83" s="3" t="s">
        <v>405</v>
      </c>
      <c r="C83" s="3" t="s">
        <v>406</v>
      </c>
      <c r="D83" s="3" t="s">
        <v>407</v>
      </c>
      <c r="E83" s="3"/>
      <c r="F83" s="3"/>
      <c r="G83" s="3" t="s">
        <v>27</v>
      </c>
      <c r="H83" s="3" t="s">
        <v>408</v>
      </c>
      <c r="I83" s="3"/>
      <c r="J83" s="3" t="s">
        <v>310</v>
      </c>
      <c r="K83" s="3" t="s">
        <v>31</v>
      </c>
      <c r="L83" s="3"/>
      <c r="M83" s="3"/>
      <c r="N83" s="3"/>
      <c r="O83" s="3"/>
      <c r="P83" s="3"/>
      <c r="Q83" s="3"/>
      <c r="R83" s="3"/>
      <c r="S83" s="3"/>
    </row>
    <row r="84" spans="1:19" x14ac:dyDescent="0.25">
      <c r="A84" s="2" t="s">
        <v>409</v>
      </c>
      <c r="B84" s="2" t="s">
        <v>410</v>
      </c>
      <c r="C84" s="2" t="s">
        <v>326</v>
      </c>
      <c r="D84" s="2" t="s">
        <v>411</v>
      </c>
      <c r="E84" s="2"/>
      <c r="F84" s="2"/>
      <c r="G84" s="2" t="s">
        <v>27</v>
      </c>
      <c r="H84" s="2" t="s">
        <v>412</v>
      </c>
      <c r="I84" s="2"/>
      <c r="J84" s="2" t="s">
        <v>310</v>
      </c>
      <c r="K84" s="2" t="s">
        <v>31</v>
      </c>
      <c r="L84" s="2"/>
      <c r="M84" s="2"/>
      <c r="N84" s="2"/>
      <c r="O84" s="2"/>
      <c r="P84" s="2"/>
      <c r="Q84" s="2"/>
      <c r="R84" s="2"/>
      <c r="S84" s="2"/>
    </row>
    <row r="85" spans="1:19" x14ac:dyDescent="0.25">
      <c r="A85" s="3" t="s">
        <v>413</v>
      </c>
      <c r="B85" s="3" t="s">
        <v>414</v>
      </c>
      <c r="C85" s="3" t="s">
        <v>415</v>
      </c>
      <c r="D85" s="3" t="s">
        <v>416</v>
      </c>
      <c r="E85" s="3"/>
      <c r="F85" s="3"/>
      <c r="G85" s="3" t="s">
        <v>27</v>
      </c>
      <c r="H85" s="3" t="s">
        <v>417</v>
      </c>
      <c r="I85" s="3"/>
      <c r="J85" s="3" t="s">
        <v>310</v>
      </c>
      <c r="K85" s="3" t="s">
        <v>31</v>
      </c>
      <c r="L85" s="3"/>
      <c r="M85" s="3"/>
      <c r="N85" s="3"/>
      <c r="O85" s="3"/>
      <c r="P85" s="3"/>
      <c r="Q85" s="3"/>
      <c r="R85" s="3"/>
      <c r="S85" s="3"/>
    </row>
    <row r="86" spans="1:19" x14ac:dyDescent="0.25">
      <c r="A86" s="2" t="s">
        <v>418</v>
      </c>
      <c r="B86" s="2" t="s">
        <v>419</v>
      </c>
      <c r="C86" s="2" t="s">
        <v>420</v>
      </c>
      <c r="D86" s="2" t="s">
        <v>421</v>
      </c>
      <c r="E86" s="2"/>
      <c r="F86" s="2"/>
      <c r="G86" s="2" t="s">
        <v>27</v>
      </c>
      <c r="H86" s="2" t="s">
        <v>422</v>
      </c>
      <c r="I86" s="2"/>
      <c r="J86" s="2" t="s">
        <v>310</v>
      </c>
      <c r="K86" s="2" t="s">
        <v>31</v>
      </c>
      <c r="L86" s="2"/>
      <c r="M86" s="2"/>
      <c r="N86" s="2"/>
      <c r="O86" s="2"/>
      <c r="P86" s="2"/>
      <c r="Q86" s="2"/>
      <c r="R86" s="2"/>
      <c r="S86" s="2"/>
    </row>
    <row r="87" spans="1:19" x14ac:dyDescent="0.25">
      <c r="A87" s="3" t="s">
        <v>423</v>
      </c>
      <c r="B87" s="3" t="s">
        <v>424</v>
      </c>
      <c r="C87" s="3" t="s">
        <v>100</v>
      </c>
      <c r="D87" s="3" t="s">
        <v>402</v>
      </c>
      <c r="E87" s="3"/>
      <c r="F87" s="3"/>
      <c r="G87" s="3" t="s">
        <v>27</v>
      </c>
      <c r="H87" s="3" t="s">
        <v>425</v>
      </c>
      <c r="I87" s="3"/>
      <c r="J87" s="3" t="s">
        <v>304</v>
      </c>
      <c r="K87" s="3" t="s">
        <v>31</v>
      </c>
      <c r="L87" s="3"/>
      <c r="M87" s="3"/>
      <c r="N87" s="3"/>
      <c r="O87" s="3"/>
      <c r="P87" s="3"/>
      <c r="Q87" s="3"/>
      <c r="R87" s="3"/>
      <c r="S87" s="3"/>
    </row>
    <row r="88" spans="1:19" x14ac:dyDescent="0.25">
      <c r="A88" s="2" t="s">
        <v>426</v>
      </c>
      <c r="B88" s="2" t="s">
        <v>427</v>
      </c>
      <c r="C88" s="2" t="s">
        <v>326</v>
      </c>
      <c r="D88" s="2" t="s">
        <v>340</v>
      </c>
      <c r="E88" s="2"/>
      <c r="F88" s="2"/>
      <c r="G88" s="2" t="s">
        <v>27</v>
      </c>
      <c r="H88" s="2" t="s">
        <v>428</v>
      </c>
      <c r="I88" s="2"/>
      <c r="J88" s="2" t="s">
        <v>310</v>
      </c>
      <c r="K88" s="2" t="s">
        <v>31</v>
      </c>
      <c r="L88" s="2"/>
      <c r="M88" s="2"/>
      <c r="N88" s="2"/>
      <c r="O88" s="2"/>
      <c r="P88" s="2"/>
      <c r="Q88" s="2"/>
      <c r="R88" s="2"/>
      <c r="S88" s="2"/>
    </row>
    <row r="89" spans="1:19" x14ac:dyDescent="0.25">
      <c r="A89" s="3" t="s">
        <v>429</v>
      </c>
      <c r="B89" s="3" t="s">
        <v>430</v>
      </c>
      <c r="C89" s="3" t="s">
        <v>226</v>
      </c>
      <c r="D89" s="3" t="s">
        <v>431</v>
      </c>
      <c r="E89" s="3"/>
      <c r="F89" s="3"/>
      <c r="G89" s="3" t="s">
        <v>27</v>
      </c>
      <c r="H89" s="3" t="s">
        <v>432</v>
      </c>
      <c r="I89" s="3"/>
      <c r="J89" s="3" t="s">
        <v>310</v>
      </c>
      <c r="K89" s="3" t="s">
        <v>31</v>
      </c>
      <c r="L89" s="3"/>
      <c r="M89" s="3"/>
      <c r="N89" s="3"/>
      <c r="O89" s="3"/>
      <c r="P89" s="3"/>
      <c r="Q89" s="3"/>
      <c r="R89" s="3"/>
      <c r="S89" s="3"/>
    </row>
    <row r="90" spans="1:19" x14ac:dyDescent="0.25">
      <c r="A90" s="2" t="s">
        <v>433</v>
      </c>
      <c r="B90" s="2" t="s">
        <v>434</v>
      </c>
      <c r="C90" s="2" t="s">
        <v>307</v>
      </c>
      <c r="D90" s="2" t="s">
        <v>435</v>
      </c>
      <c r="E90" s="2"/>
      <c r="F90" s="2"/>
      <c r="G90" s="2" t="s">
        <v>27</v>
      </c>
      <c r="H90" s="2" t="s">
        <v>436</v>
      </c>
      <c r="I90" s="2"/>
      <c r="J90" s="2" t="s">
        <v>304</v>
      </c>
      <c r="K90" s="2" t="s">
        <v>31</v>
      </c>
      <c r="L90" s="2"/>
      <c r="M90" s="2"/>
      <c r="N90" s="2"/>
      <c r="O90" s="2"/>
      <c r="P90" s="2"/>
      <c r="Q90" s="2"/>
      <c r="R90" s="2"/>
      <c r="S90" s="2"/>
    </row>
    <row r="91" spans="1:19" x14ac:dyDescent="0.25">
      <c r="A91" s="3" t="s">
        <v>437</v>
      </c>
      <c r="B91" s="3" t="s">
        <v>438</v>
      </c>
      <c r="C91" s="3" t="s">
        <v>439</v>
      </c>
      <c r="D91" s="3" t="s">
        <v>440</v>
      </c>
      <c r="E91" s="3"/>
      <c r="F91" s="3"/>
      <c r="G91" s="3" t="s">
        <v>62</v>
      </c>
      <c r="H91" s="3" t="s">
        <v>441</v>
      </c>
      <c r="I91" s="3"/>
      <c r="J91" s="3" t="s">
        <v>310</v>
      </c>
      <c r="K91" s="3" t="s">
        <v>31</v>
      </c>
      <c r="L91" s="3"/>
      <c r="M91" s="3"/>
      <c r="N91" s="3"/>
      <c r="O91" s="3"/>
      <c r="P91" s="3"/>
      <c r="Q91" s="3"/>
      <c r="R91" s="3"/>
      <c r="S91" s="3"/>
    </row>
    <row r="92" spans="1:19" x14ac:dyDescent="0.25">
      <c r="A92" s="2" t="s">
        <v>442</v>
      </c>
      <c r="B92" s="2" t="s">
        <v>443</v>
      </c>
      <c r="C92" s="2" t="s">
        <v>444</v>
      </c>
      <c r="D92" s="2" t="s">
        <v>402</v>
      </c>
      <c r="E92" s="2"/>
      <c r="F92" s="2"/>
      <c r="G92" s="2" t="s">
        <v>62</v>
      </c>
      <c r="H92" s="2" t="s">
        <v>445</v>
      </c>
      <c r="I92" s="2"/>
      <c r="J92" s="2" t="s">
        <v>304</v>
      </c>
      <c r="K92" s="2" t="s">
        <v>31</v>
      </c>
      <c r="L92" s="2"/>
      <c r="M92" s="2"/>
      <c r="N92" s="2"/>
      <c r="O92" s="2"/>
      <c r="P92" s="2"/>
      <c r="Q92" s="2"/>
      <c r="R92" s="2"/>
      <c r="S92" s="2"/>
    </row>
    <row r="93" spans="1:19" x14ac:dyDescent="0.25">
      <c r="A93" s="3" t="s">
        <v>446</v>
      </c>
      <c r="B93" s="3" t="s">
        <v>447</v>
      </c>
      <c r="C93" s="3" t="s">
        <v>448</v>
      </c>
      <c r="D93" s="3" t="s">
        <v>449</v>
      </c>
      <c r="E93" s="3"/>
      <c r="F93" s="3"/>
      <c r="G93" s="3" t="s">
        <v>62</v>
      </c>
      <c r="H93" s="3" t="s">
        <v>450</v>
      </c>
      <c r="I93" s="3"/>
      <c r="J93" s="3" t="s">
        <v>304</v>
      </c>
      <c r="K93" s="3" t="s">
        <v>31</v>
      </c>
      <c r="L93" s="3"/>
      <c r="M93" s="3"/>
      <c r="N93" s="3"/>
      <c r="O93" s="3"/>
      <c r="P93" s="3"/>
      <c r="Q93" s="3"/>
      <c r="R93" s="3"/>
      <c r="S93" s="3"/>
    </row>
    <row r="94" spans="1:19" x14ac:dyDescent="0.25">
      <c r="A94" s="2" t="s">
        <v>451</v>
      </c>
      <c r="B94" s="2" t="s">
        <v>452</v>
      </c>
      <c r="C94" s="2" t="s">
        <v>453</v>
      </c>
      <c r="D94" s="2" t="s">
        <v>344</v>
      </c>
      <c r="E94" s="2"/>
      <c r="F94" s="2"/>
      <c r="G94" s="2" t="s">
        <v>62</v>
      </c>
      <c r="H94" s="2" t="s">
        <v>454</v>
      </c>
      <c r="I94" s="2"/>
      <c r="J94" s="2" t="s">
        <v>304</v>
      </c>
      <c r="K94" s="2" t="s">
        <v>31</v>
      </c>
      <c r="L94" s="2"/>
      <c r="M94" s="2"/>
      <c r="N94" s="2"/>
      <c r="O94" s="2"/>
      <c r="P94" s="2"/>
      <c r="Q94" s="2"/>
      <c r="R94" s="2"/>
      <c r="S94" s="2"/>
    </row>
    <row r="95" spans="1:19" x14ac:dyDescent="0.25">
      <c r="A95" s="3" t="s">
        <v>455</v>
      </c>
      <c r="B95" s="3" t="s">
        <v>456</v>
      </c>
      <c r="C95" s="3" t="s">
        <v>448</v>
      </c>
      <c r="D95" s="3" t="s">
        <v>457</v>
      </c>
      <c r="E95" s="3"/>
      <c r="F95" s="3"/>
      <c r="G95" s="3" t="s">
        <v>62</v>
      </c>
      <c r="H95" s="3" t="s">
        <v>458</v>
      </c>
      <c r="I95" s="3"/>
      <c r="J95" s="3" t="s">
        <v>310</v>
      </c>
      <c r="K95" s="3" t="s">
        <v>31</v>
      </c>
      <c r="L95" s="3"/>
      <c r="M95" s="3"/>
      <c r="N95" s="3"/>
      <c r="O95" s="3"/>
      <c r="P95" s="3"/>
      <c r="Q95" s="3"/>
      <c r="R95" s="3"/>
      <c r="S95" s="3"/>
    </row>
    <row r="96" spans="1:19" x14ac:dyDescent="0.25">
      <c r="A96" s="2" t="s">
        <v>459</v>
      </c>
      <c r="B96" s="2" t="s">
        <v>460</v>
      </c>
      <c r="C96" s="2" t="s">
        <v>461</v>
      </c>
      <c r="D96" s="2" t="s">
        <v>462</v>
      </c>
      <c r="E96" s="2"/>
      <c r="F96" s="2"/>
      <c r="G96" s="2" t="s">
        <v>62</v>
      </c>
      <c r="H96" s="2" t="s">
        <v>463</v>
      </c>
      <c r="I96" s="2"/>
      <c r="J96" s="2" t="s">
        <v>304</v>
      </c>
      <c r="K96" s="2" t="s">
        <v>31</v>
      </c>
      <c r="L96" s="2"/>
      <c r="M96" s="2"/>
      <c r="N96" s="2"/>
      <c r="O96" s="2"/>
      <c r="P96" s="2"/>
      <c r="Q96" s="2"/>
      <c r="R96" s="2"/>
      <c r="S96" s="2"/>
    </row>
    <row r="97" spans="1:19" x14ac:dyDescent="0.25">
      <c r="A97" s="3" t="s">
        <v>464</v>
      </c>
      <c r="B97" s="3" t="s">
        <v>465</v>
      </c>
      <c r="C97" s="3" t="s">
        <v>466</v>
      </c>
      <c r="D97" s="3" t="s">
        <v>467</v>
      </c>
      <c r="E97" s="3"/>
      <c r="F97" s="3"/>
      <c r="G97" s="3" t="s">
        <v>62</v>
      </c>
      <c r="H97" s="3" t="s">
        <v>468</v>
      </c>
      <c r="I97" s="3"/>
      <c r="J97" s="3" t="s">
        <v>310</v>
      </c>
      <c r="K97" s="3" t="s">
        <v>31</v>
      </c>
      <c r="L97" s="3"/>
      <c r="M97" s="3"/>
      <c r="N97" s="3"/>
      <c r="O97" s="3"/>
      <c r="P97" s="3"/>
      <c r="Q97" s="3"/>
      <c r="R97" s="3"/>
      <c r="S97" s="3"/>
    </row>
    <row r="98" spans="1:19" x14ac:dyDescent="0.25">
      <c r="A98" s="2" t="s">
        <v>469</v>
      </c>
      <c r="B98" s="2" t="s">
        <v>470</v>
      </c>
      <c r="C98" s="2" t="s">
        <v>471</v>
      </c>
      <c r="D98" s="2" t="s">
        <v>472</v>
      </c>
      <c r="E98" s="2"/>
      <c r="F98" s="2"/>
      <c r="G98" s="2" t="s">
        <v>62</v>
      </c>
      <c r="H98" s="2" t="s">
        <v>473</v>
      </c>
      <c r="I98" s="2"/>
      <c r="J98" s="2" t="s">
        <v>310</v>
      </c>
      <c r="K98" s="2" t="s">
        <v>31</v>
      </c>
      <c r="L98" s="2"/>
      <c r="M98" s="2"/>
      <c r="N98" s="2"/>
      <c r="O98" s="2"/>
      <c r="P98" s="2"/>
      <c r="Q98" s="2"/>
      <c r="R98" s="2"/>
      <c r="S98" s="2"/>
    </row>
    <row r="99" spans="1:19" x14ac:dyDescent="0.25">
      <c r="A99" s="3" t="s">
        <v>474</v>
      </c>
      <c r="B99" s="3" t="s">
        <v>475</v>
      </c>
      <c r="C99" s="3" t="s">
        <v>471</v>
      </c>
      <c r="D99" s="3" t="s">
        <v>476</v>
      </c>
      <c r="E99" s="3"/>
      <c r="F99" s="3"/>
      <c r="G99" s="3" t="s">
        <v>62</v>
      </c>
      <c r="H99" s="3" t="s">
        <v>477</v>
      </c>
      <c r="I99" s="3"/>
      <c r="J99" s="3" t="s">
        <v>310</v>
      </c>
      <c r="K99" s="3" t="s">
        <v>31</v>
      </c>
      <c r="L99" s="3"/>
      <c r="M99" s="3"/>
      <c r="N99" s="3"/>
      <c r="O99" s="3"/>
      <c r="P99" s="3"/>
      <c r="Q99" s="3"/>
      <c r="R99" s="3"/>
      <c r="S99" s="3"/>
    </row>
    <row r="100" spans="1:19" x14ac:dyDescent="0.25">
      <c r="A100" s="2" t="s">
        <v>478</v>
      </c>
      <c r="B100" s="2" t="s">
        <v>479</v>
      </c>
      <c r="C100" s="2" t="s">
        <v>471</v>
      </c>
      <c r="D100" s="2" t="s">
        <v>480</v>
      </c>
      <c r="E100" s="2"/>
      <c r="F100" s="2"/>
      <c r="G100" s="2" t="s">
        <v>62</v>
      </c>
      <c r="H100" s="2" t="s">
        <v>481</v>
      </c>
      <c r="I100" s="2"/>
      <c r="J100" s="2" t="s">
        <v>310</v>
      </c>
      <c r="K100" s="2" t="s">
        <v>31</v>
      </c>
      <c r="L100" s="2"/>
      <c r="M100" s="2"/>
      <c r="N100" s="2"/>
      <c r="O100" s="2"/>
      <c r="P100" s="2"/>
      <c r="Q100" s="2"/>
      <c r="R100" s="2"/>
      <c r="S100" s="2"/>
    </row>
    <row r="101" spans="1:19" x14ac:dyDescent="0.25">
      <c r="A101" s="3" t="s">
        <v>482</v>
      </c>
      <c r="B101" s="3" t="s">
        <v>483</v>
      </c>
      <c r="C101" s="3" t="s">
        <v>471</v>
      </c>
      <c r="D101" s="3" t="s">
        <v>484</v>
      </c>
      <c r="E101" s="3"/>
      <c r="F101" s="3"/>
      <c r="G101" s="3" t="s">
        <v>62</v>
      </c>
      <c r="H101" s="3" t="s">
        <v>485</v>
      </c>
      <c r="I101" s="3"/>
      <c r="J101" s="3" t="s">
        <v>310</v>
      </c>
      <c r="K101" s="3" t="s">
        <v>31</v>
      </c>
      <c r="L101" s="3"/>
      <c r="M101" s="3"/>
      <c r="N101" s="3"/>
      <c r="O101" s="3"/>
      <c r="P101" s="3"/>
      <c r="Q101" s="3"/>
      <c r="R101" s="3"/>
      <c r="S101" s="3"/>
    </row>
    <row r="102" spans="1:19" x14ac:dyDescent="0.25">
      <c r="A102" s="2" t="s">
        <v>486</v>
      </c>
      <c r="B102" s="2" t="s">
        <v>487</v>
      </c>
      <c r="C102" s="2" t="s">
        <v>192</v>
      </c>
      <c r="D102" s="2" t="s">
        <v>488</v>
      </c>
      <c r="E102" s="2"/>
      <c r="F102" s="2"/>
      <c r="G102" s="2" t="s">
        <v>62</v>
      </c>
      <c r="H102" s="2" t="s">
        <v>489</v>
      </c>
      <c r="I102" s="2"/>
      <c r="J102" s="2" t="s">
        <v>310</v>
      </c>
      <c r="K102" s="2" t="s">
        <v>31</v>
      </c>
      <c r="L102" s="2"/>
      <c r="M102" s="2"/>
      <c r="N102" s="2"/>
      <c r="O102" s="2"/>
      <c r="P102" s="2"/>
      <c r="Q102" s="2"/>
      <c r="R102" s="2"/>
      <c r="S102" s="2"/>
    </row>
    <row r="103" spans="1:19" x14ac:dyDescent="0.25">
      <c r="A103" s="3" t="s">
        <v>490</v>
      </c>
      <c r="B103" s="3" t="s">
        <v>491</v>
      </c>
      <c r="C103" s="3" t="s">
        <v>192</v>
      </c>
      <c r="D103" s="3" t="s">
        <v>416</v>
      </c>
      <c r="E103" s="3"/>
      <c r="F103" s="3"/>
      <c r="G103" s="3" t="s">
        <v>62</v>
      </c>
      <c r="H103" s="3" t="s">
        <v>492</v>
      </c>
      <c r="I103" s="3"/>
      <c r="J103" s="3" t="s">
        <v>310</v>
      </c>
      <c r="K103" s="3" t="s">
        <v>31</v>
      </c>
      <c r="L103" s="3"/>
      <c r="M103" s="3"/>
      <c r="N103" s="3"/>
      <c r="O103" s="3"/>
      <c r="P103" s="3"/>
      <c r="Q103" s="3"/>
      <c r="R103" s="3"/>
      <c r="S103" s="3"/>
    </row>
    <row r="104" spans="1:19" x14ac:dyDescent="0.25">
      <c r="A104" s="2" t="s">
        <v>493</v>
      </c>
      <c r="B104" s="2" t="s">
        <v>494</v>
      </c>
      <c r="C104" s="2" t="s">
        <v>448</v>
      </c>
      <c r="D104" s="2" t="s">
        <v>313</v>
      </c>
      <c r="E104" s="2"/>
      <c r="F104" s="2"/>
      <c r="G104" s="2" t="s">
        <v>62</v>
      </c>
      <c r="H104" s="2" t="s">
        <v>495</v>
      </c>
      <c r="I104" s="2"/>
      <c r="J104" s="2" t="s">
        <v>304</v>
      </c>
      <c r="K104" s="2" t="s">
        <v>31</v>
      </c>
      <c r="L104" s="2"/>
      <c r="M104" s="2"/>
      <c r="N104" s="2"/>
      <c r="O104" s="2"/>
      <c r="P104" s="2"/>
      <c r="Q104" s="2"/>
      <c r="R104" s="2"/>
      <c r="S104" s="2"/>
    </row>
    <row r="105" spans="1:19" x14ac:dyDescent="0.25">
      <c r="A105" s="3" t="s">
        <v>496</v>
      </c>
      <c r="B105" s="3" t="s">
        <v>497</v>
      </c>
      <c r="C105" s="3" t="s">
        <v>498</v>
      </c>
      <c r="D105" s="3" t="s">
        <v>462</v>
      </c>
      <c r="E105" s="3"/>
      <c r="F105" s="3"/>
      <c r="G105" s="3" t="s">
        <v>62</v>
      </c>
      <c r="H105" s="3" t="s">
        <v>499</v>
      </c>
      <c r="I105" s="3"/>
      <c r="J105" s="3" t="s">
        <v>304</v>
      </c>
      <c r="K105" s="3" t="s">
        <v>31</v>
      </c>
      <c r="L105" s="3"/>
      <c r="M105" s="3"/>
      <c r="N105" s="3"/>
      <c r="O105" s="3"/>
      <c r="P105" s="3"/>
      <c r="Q105" s="3"/>
      <c r="R105" s="3"/>
      <c r="S105" s="3"/>
    </row>
    <row r="106" spans="1:19" x14ac:dyDescent="0.25">
      <c r="A106" s="2" t="s">
        <v>500</v>
      </c>
      <c r="B106" s="2" t="s">
        <v>501</v>
      </c>
      <c r="C106" s="2" t="s">
        <v>502</v>
      </c>
      <c r="D106" s="2" t="s">
        <v>348</v>
      </c>
      <c r="E106" s="2"/>
      <c r="F106" s="2"/>
      <c r="G106" s="2" t="s">
        <v>62</v>
      </c>
      <c r="H106" s="2" t="s">
        <v>503</v>
      </c>
      <c r="I106" s="2"/>
      <c r="J106" s="2" t="s">
        <v>310</v>
      </c>
      <c r="K106" s="2" t="s">
        <v>31</v>
      </c>
      <c r="L106" s="2"/>
      <c r="M106" s="2"/>
      <c r="N106" s="2"/>
      <c r="O106" s="2"/>
      <c r="P106" s="2"/>
      <c r="Q106" s="2"/>
      <c r="R106" s="2"/>
      <c r="S106" s="2"/>
    </row>
    <row r="107" spans="1:19" x14ac:dyDescent="0.25">
      <c r="A107" s="3" t="s">
        <v>504</v>
      </c>
      <c r="B107" s="3" t="s">
        <v>505</v>
      </c>
      <c r="C107" s="3" t="s">
        <v>461</v>
      </c>
      <c r="D107" s="3" t="s">
        <v>506</v>
      </c>
      <c r="E107" s="3"/>
      <c r="F107" s="3"/>
      <c r="G107" s="3" t="s">
        <v>62</v>
      </c>
      <c r="H107" s="3" t="s">
        <v>507</v>
      </c>
      <c r="I107" s="3"/>
      <c r="J107" s="3" t="s">
        <v>310</v>
      </c>
      <c r="K107" s="3" t="s">
        <v>31</v>
      </c>
      <c r="L107" s="3"/>
      <c r="M107" s="3"/>
      <c r="N107" s="3"/>
      <c r="O107" s="3"/>
      <c r="P107" s="3"/>
      <c r="Q107" s="3"/>
      <c r="R107" s="3"/>
      <c r="S107" s="3"/>
    </row>
    <row r="108" spans="1:19" x14ac:dyDescent="0.25">
      <c r="A108" s="2" t="s">
        <v>508</v>
      </c>
      <c r="B108" s="2" t="s">
        <v>509</v>
      </c>
      <c r="C108" s="2" t="s">
        <v>510</v>
      </c>
      <c r="D108" s="2" t="s">
        <v>402</v>
      </c>
      <c r="E108" s="2"/>
      <c r="F108" s="2"/>
      <c r="G108" s="2" t="s">
        <v>62</v>
      </c>
      <c r="H108" s="2" t="s">
        <v>511</v>
      </c>
      <c r="I108" s="2"/>
      <c r="J108" s="2" t="s">
        <v>310</v>
      </c>
      <c r="K108" s="2" t="s">
        <v>31</v>
      </c>
      <c r="L108" s="2"/>
      <c r="M108" s="2"/>
      <c r="N108" s="2"/>
      <c r="O108" s="2"/>
      <c r="P108" s="2"/>
      <c r="Q108" s="2"/>
      <c r="R108" s="2"/>
      <c r="S108" s="2"/>
    </row>
    <row r="109" spans="1:19" x14ac:dyDescent="0.25">
      <c r="A109" s="3" t="s">
        <v>512</v>
      </c>
      <c r="B109" s="3" t="s">
        <v>513</v>
      </c>
      <c r="C109" s="3" t="s">
        <v>84</v>
      </c>
      <c r="D109" s="3" t="s">
        <v>302</v>
      </c>
      <c r="E109" s="3"/>
      <c r="F109" s="3"/>
      <c r="G109" s="3" t="s">
        <v>85</v>
      </c>
      <c r="H109" s="3" t="s">
        <v>514</v>
      </c>
      <c r="I109" s="3"/>
      <c r="J109" s="3" t="s">
        <v>304</v>
      </c>
      <c r="K109" s="3" t="s">
        <v>31</v>
      </c>
      <c r="L109" s="3"/>
      <c r="M109" s="3"/>
      <c r="N109" s="3"/>
      <c r="O109" s="3"/>
      <c r="P109" s="3"/>
      <c r="Q109" s="3"/>
      <c r="R109" s="3"/>
      <c r="S109" s="3"/>
    </row>
    <row r="110" spans="1:19" x14ac:dyDescent="0.25">
      <c r="A110" s="2"/>
      <c r="B110" s="2" t="s">
        <v>515</v>
      </c>
      <c r="C110" s="2"/>
      <c r="D110" s="2"/>
      <c r="E110" s="2"/>
      <c r="F110" s="2"/>
      <c r="G110" s="2"/>
      <c r="H110" s="2" t="s">
        <v>516</v>
      </c>
      <c r="I110" s="2"/>
      <c r="J110" s="2" t="s">
        <v>517</v>
      </c>
      <c r="K110" s="2" t="s">
        <v>31</v>
      </c>
      <c r="L110" s="2"/>
      <c r="M110" s="2"/>
      <c r="N110" s="2"/>
      <c r="O110" s="2"/>
      <c r="P110" s="2"/>
      <c r="Q110" s="2"/>
      <c r="R110" s="2"/>
      <c r="S110" s="2"/>
    </row>
    <row r="111" spans="1:19" x14ac:dyDescent="0.25">
      <c r="A111" s="3"/>
      <c r="B111" s="3" t="s">
        <v>518</v>
      </c>
      <c r="C111" s="3"/>
      <c r="D111" s="3"/>
      <c r="E111" s="3"/>
      <c r="F111" s="3"/>
      <c r="G111" s="3"/>
      <c r="H111" s="3" t="s">
        <v>519</v>
      </c>
      <c r="I111" s="3"/>
      <c r="J111" s="3" t="s">
        <v>517</v>
      </c>
      <c r="K111" s="3" t="s">
        <v>31</v>
      </c>
      <c r="L111" s="3"/>
      <c r="M111" s="3"/>
      <c r="N111" s="3"/>
      <c r="O111" s="3"/>
      <c r="P111" s="3"/>
      <c r="Q111" s="3"/>
      <c r="R111" s="3"/>
      <c r="S111" s="3"/>
    </row>
    <row r="112" spans="1:19" x14ac:dyDescent="0.25">
      <c r="A112" s="2"/>
      <c r="B112" s="2" t="s">
        <v>520</v>
      </c>
      <c r="C112" s="2"/>
      <c r="D112" s="2"/>
      <c r="E112" s="2"/>
      <c r="F112" s="2"/>
      <c r="G112" s="2"/>
      <c r="H112" s="2" t="s">
        <v>521</v>
      </c>
      <c r="I112" s="2"/>
      <c r="J112" s="2" t="s">
        <v>517</v>
      </c>
      <c r="K112" s="2" t="s">
        <v>31</v>
      </c>
      <c r="L112" s="2"/>
      <c r="M112" s="2"/>
      <c r="N112" s="2"/>
      <c r="O112" s="2"/>
      <c r="P112" s="2"/>
      <c r="Q112" s="2"/>
      <c r="R112" s="2"/>
      <c r="S112" s="2"/>
    </row>
    <row r="113" spans="1:19" x14ac:dyDescent="0.25">
      <c r="A113" s="3"/>
      <c r="B113" s="3" t="s">
        <v>522</v>
      </c>
      <c r="C113" s="3"/>
      <c r="D113" s="3"/>
      <c r="E113" s="3"/>
      <c r="F113" s="3"/>
      <c r="G113" s="3"/>
      <c r="H113" s="3" t="s">
        <v>523</v>
      </c>
      <c r="I113" s="3"/>
      <c r="J113" s="3" t="s">
        <v>517</v>
      </c>
      <c r="K113" s="3" t="s">
        <v>31</v>
      </c>
      <c r="L113" s="3"/>
      <c r="M113" s="3"/>
      <c r="N113" s="3"/>
      <c r="O113" s="3"/>
      <c r="P113" s="3"/>
      <c r="Q113" s="3"/>
      <c r="R113" s="3"/>
      <c r="S113" s="3"/>
    </row>
    <row r="114" spans="1:19" x14ac:dyDescent="0.25">
      <c r="A114" s="2"/>
      <c r="B114" s="2" t="s">
        <v>524</v>
      </c>
      <c r="C114" s="2"/>
      <c r="D114" s="2"/>
      <c r="E114" s="2"/>
      <c r="F114" s="2"/>
      <c r="G114" s="2"/>
      <c r="H114" s="2" t="s">
        <v>525</v>
      </c>
      <c r="I114" s="2"/>
      <c r="J114" s="2" t="s">
        <v>517</v>
      </c>
      <c r="K114" s="2" t="s">
        <v>31</v>
      </c>
      <c r="L114" s="2"/>
      <c r="M114" s="2"/>
      <c r="N114" s="2"/>
      <c r="O114" s="2"/>
      <c r="P114" s="2"/>
      <c r="Q114" s="2"/>
      <c r="R114" s="2"/>
      <c r="S114" s="2"/>
    </row>
    <row r="115" spans="1:19" x14ac:dyDescent="0.25">
      <c r="A115" s="3"/>
      <c r="B115" s="3" t="s">
        <v>526</v>
      </c>
      <c r="C115" s="3"/>
      <c r="D115" s="3"/>
      <c r="E115" s="3"/>
      <c r="F115" s="3"/>
      <c r="G115" s="3"/>
      <c r="H115" s="3" t="s">
        <v>527</v>
      </c>
      <c r="I115" s="3"/>
      <c r="J115" s="3" t="s">
        <v>517</v>
      </c>
      <c r="K115" s="3" t="s">
        <v>31</v>
      </c>
      <c r="L115" s="3"/>
      <c r="M115" s="3"/>
      <c r="N115" s="3"/>
      <c r="O115" s="3"/>
      <c r="P115" s="3"/>
      <c r="Q115" s="3"/>
      <c r="R115" s="3"/>
      <c r="S115" s="3"/>
    </row>
    <row r="116" spans="1:19" x14ac:dyDescent="0.25">
      <c r="A116" s="2"/>
      <c r="B116" s="2" t="s">
        <v>528</v>
      </c>
      <c r="C116" s="2"/>
      <c r="D116" s="2"/>
      <c r="E116" s="2"/>
      <c r="F116" s="2"/>
      <c r="G116" s="2"/>
      <c r="H116" s="2" t="s">
        <v>529</v>
      </c>
      <c r="I116" s="2"/>
      <c r="J116" s="2" t="s">
        <v>517</v>
      </c>
      <c r="K116" s="2" t="s">
        <v>31</v>
      </c>
      <c r="L116" s="2"/>
      <c r="M116" s="2"/>
      <c r="N116" s="2"/>
      <c r="O116" s="2"/>
      <c r="P116" s="2"/>
      <c r="Q116" s="2"/>
      <c r="R116" s="2"/>
      <c r="S116" s="2"/>
    </row>
    <row r="117" spans="1:19" x14ac:dyDescent="0.25">
      <c r="A117" s="3"/>
      <c r="B117" s="3" t="s">
        <v>530</v>
      </c>
      <c r="C117" s="3"/>
      <c r="D117" s="3"/>
      <c r="E117" s="3"/>
      <c r="F117" s="3"/>
      <c r="G117" s="3"/>
      <c r="H117" s="3" t="s">
        <v>531</v>
      </c>
      <c r="I117" s="3"/>
      <c r="J117" s="3" t="s">
        <v>517</v>
      </c>
      <c r="K117" s="3" t="s">
        <v>31</v>
      </c>
      <c r="L117" s="3"/>
      <c r="M117" s="3"/>
      <c r="N117" s="3"/>
      <c r="O117" s="3"/>
      <c r="P117" s="3"/>
      <c r="Q117" s="3"/>
      <c r="R117" s="3"/>
      <c r="S117" s="3"/>
    </row>
    <row r="118" spans="1:19" x14ac:dyDescent="0.25">
      <c r="A118" s="2"/>
      <c r="B118" s="2" t="s">
        <v>532</v>
      </c>
      <c r="C118" s="2"/>
      <c r="D118" s="2"/>
      <c r="E118" s="2"/>
      <c r="F118" s="2"/>
      <c r="G118" s="2"/>
      <c r="H118" s="2" t="s">
        <v>533</v>
      </c>
      <c r="I118" s="2"/>
      <c r="J118" s="2" t="s">
        <v>517</v>
      </c>
      <c r="K118" s="2" t="s">
        <v>31</v>
      </c>
      <c r="L118" s="2"/>
      <c r="M118" s="2"/>
      <c r="N118" s="2"/>
      <c r="O118" s="2"/>
      <c r="P118" s="2"/>
      <c r="Q118" s="2"/>
      <c r="R118" s="2"/>
      <c r="S118" s="2"/>
    </row>
    <row r="119" spans="1:19" x14ac:dyDescent="0.25">
      <c r="A119" s="3"/>
      <c r="B119" s="3" t="s">
        <v>534</v>
      </c>
      <c r="C119" s="3"/>
      <c r="D119" s="3"/>
      <c r="E119" s="3"/>
      <c r="F119" s="3"/>
      <c r="G119" s="3"/>
      <c r="H119" s="3" t="s">
        <v>535</v>
      </c>
      <c r="I119" s="3"/>
      <c r="J119" s="3" t="s">
        <v>517</v>
      </c>
      <c r="K119" s="3" t="s">
        <v>31</v>
      </c>
      <c r="L119" s="3"/>
      <c r="M119" s="3"/>
      <c r="N119" s="3"/>
      <c r="O119" s="3"/>
      <c r="P119" s="3"/>
      <c r="Q119" s="3"/>
      <c r="R119" s="3"/>
      <c r="S119" s="3"/>
    </row>
    <row r="120" spans="1:19" x14ac:dyDescent="0.25">
      <c r="A120" s="2"/>
      <c r="B120" s="2" t="s">
        <v>536</v>
      </c>
      <c r="C120" s="2"/>
      <c r="D120" s="2"/>
      <c r="E120" s="2"/>
      <c r="F120" s="2"/>
      <c r="G120" s="2"/>
      <c r="H120" s="2" t="s">
        <v>537</v>
      </c>
      <c r="I120" s="2"/>
      <c r="J120" s="2" t="s">
        <v>517</v>
      </c>
      <c r="K120" s="2" t="s">
        <v>31</v>
      </c>
      <c r="L120" s="2"/>
      <c r="M120" s="2"/>
      <c r="N120" s="2"/>
      <c r="O120" s="2"/>
      <c r="P120" s="2"/>
      <c r="Q120" s="2"/>
      <c r="R120" s="2"/>
      <c r="S120" s="2"/>
    </row>
    <row r="121" spans="1:19" x14ac:dyDescent="0.25">
      <c r="A121" s="3"/>
      <c r="B121" s="3" t="s">
        <v>538</v>
      </c>
      <c r="C121" s="3"/>
      <c r="D121" s="3"/>
      <c r="E121" s="3"/>
      <c r="F121" s="3"/>
      <c r="G121" s="3"/>
      <c r="H121" s="3" t="s">
        <v>539</v>
      </c>
      <c r="I121" s="3"/>
      <c r="J121" s="3" t="s">
        <v>517</v>
      </c>
      <c r="K121" s="3" t="s">
        <v>31</v>
      </c>
      <c r="L121" s="3"/>
      <c r="M121" s="3"/>
      <c r="N121" s="3"/>
      <c r="O121" s="3"/>
      <c r="P121" s="3"/>
      <c r="Q121" s="3"/>
      <c r="R121" s="3"/>
      <c r="S121" s="3"/>
    </row>
    <row r="122" spans="1:19" x14ac:dyDescent="0.25">
      <c r="A122" s="2"/>
      <c r="B122" s="2" t="s">
        <v>540</v>
      </c>
      <c r="C122" s="2"/>
      <c r="D122" s="2"/>
      <c r="E122" s="2"/>
      <c r="F122" s="2"/>
      <c r="G122" s="2"/>
      <c r="H122" s="2" t="s">
        <v>541</v>
      </c>
      <c r="I122" s="2"/>
      <c r="J122" s="2" t="s">
        <v>517</v>
      </c>
      <c r="K122" s="2" t="s">
        <v>31</v>
      </c>
      <c r="L122" s="2"/>
      <c r="M122" s="2"/>
      <c r="N122" s="2"/>
      <c r="O122" s="2"/>
      <c r="P122" s="2"/>
      <c r="Q122" s="2"/>
      <c r="R122" s="2"/>
      <c r="S122" s="2"/>
    </row>
    <row r="123" spans="1:19" x14ac:dyDescent="0.25">
      <c r="A123" s="3"/>
      <c r="B123" s="3" t="s">
        <v>542</v>
      </c>
      <c r="C123" s="3"/>
      <c r="D123" s="3"/>
      <c r="E123" s="3"/>
      <c r="F123" s="3"/>
      <c r="G123" s="3"/>
      <c r="H123" s="3" t="s">
        <v>543</v>
      </c>
      <c r="I123" s="3"/>
      <c r="J123" s="3" t="s">
        <v>517</v>
      </c>
      <c r="K123" s="3" t="s">
        <v>31</v>
      </c>
      <c r="L123" s="3"/>
      <c r="M123" s="3"/>
      <c r="N123" s="3"/>
      <c r="O123" s="3"/>
      <c r="P123" s="3"/>
      <c r="Q123" s="3"/>
      <c r="R123" s="3"/>
      <c r="S123" s="3"/>
    </row>
    <row r="124" spans="1:19" x14ac:dyDescent="0.25">
      <c r="A124" s="2"/>
      <c r="B124" s="2" t="s">
        <v>544</v>
      </c>
      <c r="C124" s="2"/>
      <c r="D124" s="2"/>
      <c r="E124" s="2"/>
      <c r="F124" s="2"/>
      <c r="G124" s="2"/>
      <c r="H124" s="2" t="s">
        <v>545</v>
      </c>
      <c r="I124" s="2"/>
      <c r="J124" s="2" t="s">
        <v>517</v>
      </c>
      <c r="K124" s="2" t="s">
        <v>31</v>
      </c>
      <c r="L124" s="2"/>
      <c r="M124" s="2"/>
      <c r="N124" s="2"/>
      <c r="O124" s="2"/>
      <c r="P124" s="2"/>
      <c r="Q124" s="2"/>
      <c r="R124" s="2"/>
      <c r="S124" s="2"/>
    </row>
    <row r="125" spans="1:19" x14ac:dyDescent="0.25">
      <c r="A125" s="3"/>
      <c r="B125" s="3" t="s">
        <v>546</v>
      </c>
      <c r="C125" s="3"/>
      <c r="D125" s="3"/>
      <c r="E125" s="3"/>
      <c r="F125" s="3"/>
      <c r="G125" s="3"/>
      <c r="H125" s="3" t="s">
        <v>547</v>
      </c>
      <c r="I125" s="3"/>
      <c r="J125" s="3" t="s">
        <v>517</v>
      </c>
      <c r="K125" s="3" t="s">
        <v>31</v>
      </c>
      <c r="L125" s="3"/>
      <c r="M125" s="3"/>
      <c r="N125" s="3"/>
      <c r="O125" s="3"/>
      <c r="P125" s="3"/>
      <c r="Q125" s="3"/>
      <c r="R125" s="3"/>
      <c r="S125" s="3"/>
    </row>
    <row r="126" spans="1:19" x14ac:dyDescent="0.25">
      <c r="A126" s="2"/>
      <c r="B126" s="2" t="s">
        <v>548</v>
      </c>
      <c r="C126" s="2"/>
      <c r="D126" s="2"/>
      <c r="E126" s="2"/>
      <c r="F126" s="2"/>
      <c r="G126" s="2"/>
      <c r="H126" s="2" t="s">
        <v>549</v>
      </c>
      <c r="I126" s="2"/>
      <c r="J126" s="2" t="s">
        <v>517</v>
      </c>
      <c r="K126" s="2" t="s">
        <v>31</v>
      </c>
      <c r="L126" s="2"/>
      <c r="M126" s="2"/>
      <c r="N126" s="2"/>
      <c r="O126" s="2"/>
      <c r="P126" s="2"/>
      <c r="Q126" s="2"/>
      <c r="R126" s="2"/>
      <c r="S126" s="2"/>
    </row>
    <row r="127" spans="1:19" x14ac:dyDescent="0.25">
      <c r="A127" s="3"/>
      <c r="B127" s="3" t="s">
        <v>550</v>
      </c>
      <c r="C127" s="3"/>
      <c r="D127" s="3"/>
      <c r="E127" s="3"/>
      <c r="F127" s="3"/>
      <c r="G127" s="3"/>
      <c r="H127" s="3" t="s">
        <v>551</v>
      </c>
      <c r="I127" s="3"/>
      <c r="J127" s="3" t="s">
        <v>517</v>
      </c>
      <c r="K127" s="3" t="s">
        <v>31</v>
      </c>
      <c r="L127" s="3"/>
      <c r="M127" s="3"/>
      <c r="N127" s="3"/>
      <c r="O127" s="3"/>
      <c r="P127" s="3"/>
      <c r="Q127" s="3"/>
      <c r="R127" s="3"/>
      <c r="S127" s="3"/>
    </row>
    <row r="128" spans="1:19" x14ac:dyDescent="0.25">
      <c r="A128" s="2"/>
      <c r="B128" s="2" t="s">
        <v>552</v>
      </c>
      <c r="C128" s="2"/>
      <c r="D128" s="2"/>
      <c r="E128" s="2"/>
      <c r="F128" s="2"/>
      <c r="G128" s="2"/>
      <c r="H128" s="2" t="s">
        <v>553</v>
      </c>
      <c r="I128" s="2"/>
      <c r="J128" s="2" t="s">
        <v>517</v>
      </c>
      <c r="K128" s="2" t="s">
        <v>31</v>
      </c>
      <c r="L128" s="2"/>
      <c r="M128" s="2"/>
      <c r="N128" s="2"/>
      <c r="O128" s="2"/>
      <c r="P128" s="2"/>
      <c r="Q128" s="2"/>
      <c r="R128" s="2"/>
      <c r="S128" s="2"/>
    </row>
    <row r="129" spans="1:19" x14ac:dyDescent="0.25">
      <c r="A129" s="3"/>
      <c r="B129" s="3" t="s">
        <v>554</v>
      </c>
      <c r="C129" s="3"/>
      <c r="D129" s="3"/>
      <c r="E129" s="3"/>
      <c r="F129" s="3"/>
      <c r="G129" s="3"/>
      <c r="H129" s="3" t="s">
        <v>555</v>
      </c>
      <c r="I129" s="3"/>
      <c r="J129" s="3" t="s">
        <v>517</v>
      </c>
      <c r="K129" s="3" t="s">
        <v>31</v>
      </c>
      <c r="L129" s="3"/>
      <c r="M129" s="3"/>
      <c r="N129" s="3"/>
      <c r="O129" s="3"/>
      <c r="P129" s="3"/>
      <c r="Q129" s="3"/>
      <c r="R129" s="3"/>
      <c r="S129" s="3"/>
    </row>
    <row r="130" spans="1:19" x14ac:dyDescent="0.25">
      <c r="A130" s="2"/>
      <c r="B130" s="2" t="s">
        <v>556</v>
      </c>
      <c r="C130" s="2"/>
      <c r="D130" s="2"/>
      <c r="E130" s="2"/>
      <c r="F130" s="2"/>
      <c r="G130" s="2"/>
      <c r="H130" s="2" t="s">
        <v>557</v>
      </c>
      <c r="I130" s="2"/>
      <c r="J130" s="2" t="s">
        <v>517</v>
      </c>
      <c r="K130" s="2" t="s">
        <v>31</v>
      </c>
      <c r="L130" s="2"/>
      <c r="M130" s="2"/>
      <c r="N130" s="2"/>
      <c r="O130" s="2"/>
      <c r="P130" s="2"/>
      <c r="Q130" s="2"/>
      <c r="R130" s="2"/>
      <c r="S130" s="2"/>
    </row>
    <row r="131" spans="1:19" x14ac:dyDescent="0.25">
      <c r="A131" s="3"/>
      <c r="B131" s="3" t="s">
        <v>558</v>
      </c>
      <c r="C131" s="3"/>
      <c r="D131" s="3"/>
      <c r="E131" s="3"/>
      <c r="F131" s="3"/>
      <c r="G131" s="3"/>
      <c r="H131" s="3" t="s">
        <v>559</v>
      </c>
      <c r="I131" s="3"/>
      <c r="J131" s="3" t="s">
        <v>517</v>
      </c>
      <c r="K131" s="3" t="s">
        <v>31</v>
      </c>
      <c r="L131" s="3"/>
      <c r="M131" s="3"/>
      <c r="N131" s="3"/>
      <c r="O131" s="3"/>
      <c r="P131" s="3"/>
      <c r="Q131" s="3"/>
      <c r="R131" s="3"/>
      <c r="S131" s="3"/>
    </row>
    <row r="132" spans="1:19" x14ac:dyDescent="0.25">
      <c r="A132" s="2"/>
      <c r="B132" s="2" t="s">
        <v>560</v>
      </c>
      <c r="C132" s="2"/>
      <c r="D132" s="2"/>
      <c r="E132" s="2"/>
      <c r="F132" s="2"/>
      <c r="G132" s="2"/>
      <c r="H132" s="2" t="s">
        <v>561</v>
      </c>
      <c r="I132" s="2"/>
      <c r="J132" s="2" t="s">
        <v>517</v>
      </c>
      <c r="K132" s="2" t="s">
        <v>31</v>
      </c>
      <c r="L132" s="2"/>
      <c r="M132" s="2"/>
      <c r="N132" s="2"/>
      <c r="O132" s="2"/>
      <c r="P132" s="2"/>
      <c r="Q132" s="2"/>
      <c r="R132" s="2"/>
      <c r="S132" s="2"/>
    </row>
    <row r="133" spans="1:19" x14ac:dyDescent="0.25">
      <c r="A133" s="3"/>
      <c r="B133" s="3" t="s">
        <v>562</v>
      </c>
      <c r="C133" s="3"/>
      <c r="D133" s="3"/>
      <c r="E133" s="3"/>
      <c r="F133" s="3"/>
      <c r="G133" s="3"/>
      <c r="H133" s="3" t="s">
        <v>563</v>
      </c>
      <c r="I133" s="3"/>
      <c r="J133" s="3" t="s">
        <v>517</v>
      </c>
      <c r="K133" s="3" t="s">
        <v>31</v>
      </c>
      <c r="L133" s="3"/>
      <c r="M133" s="3"/>
      <c r="N133" s="3"/>
      <c r="O133" s="3"/>
      <c r="P133" s="3"/>
      <c r="Q133" s="3"/>
      <c r="R133" s="3"/>
      <c r="S133" s="3"/>
    </row>
    <row r="134" spans="1:19" x14ac:dyDescent="0.25">
      <c r="A134" s="2"/>
      <c r="B134" s="2" t="s">
        <v>564</v>
      </c>
      <c r="C134" s="2"/>
      <c r="D134" s="2"/>
      <c r="E134" s="2"/>
      <c r="F134" s="2"/>
      <c r="G134" s="2"/>
      <c r="H134" s="2" t="s">
        <v>565</v>
      </c>
      <c r="I134" s="2"/>
      <c r="J134" s="2" t="s">
        <v>517</v>
      </c>
      <c r="K134" s="2" t="s">
        <v>31</v>
      </c>
      <c r="L134" s="2"/>
      <c r="M134" s="2"/>
      <c r="N134" s="2"/>
      <c r="O134" s="2"/>
      <c r="P134" s="2"/>
      <c r="Q134" s="2"/>
      <c r="R134" s="2"/>
      <c r="S134" s="2"/>
    </row>
    <row r="135" spans="1:19" x14ac:dyDescent="0.25">
      <c r="A135" s="3"/>
      <c r="B135" s="3" t="s">
        <v>566</v>
      </c>
      <c r="C135" s="3"/>
      <c r="D135" s="3"/>
      <c r="E135" s="3"/>
      <c r="F135" s="3"/>
      <c r="G135" s="3"/>
      <c r="H135" s="3" t="s">
        <v>567</v>
      </c>
      <c r="I135" s="3"/>
      <c r="J135" s="3" t="s">
        <v>517</v>
      </c>
      <c r="K135" s="3" t="s">
        <v>31</v>
      </c>
      <c r="L135" s="3"/>
      <c r="M135" s="3"/>
      <c r="N135" s="3"/>
      <c r="O135" s="3"/>
      <c r="P135" s="3"/>
      <c r="Q135" s="3"/>
      <c r="R135" s="3"/>
      <c r="S135" s="3"/>
    </row>
    <row r="136" spans="1:19" x14ac:dyDescent="0.25">
      <c r="A136" s="2"/>
      <c r="B136" s="2" t="s">
        <v>568</v>
      </c>
      <c r="C136" s="2"/>
      <c r="D136" s="2"/>
      <c r="E136" s="2"/>
      <c r="F136" s="2"/>
      <c r="G136" s="2"/>
      <c r="H136" s="2" t="s">
        <v>569</v>
      </c>
      <c r="I136" s="2"/>
      <c r="J136" s="2" t="s">
        <v>517</v>
      </c>
      <c r="K136" s="2" t="s">
        <v>31</v>
      </c>
      <c r="L136" s="2"/>
      <c r="M136" s="2"/>
      <c r="N136" s="2"/>
      <c r="O136" s="2"/>
      <c r="P136" s="2"/>
      <c r="Q136" s="2"/>
      <c r="R136" s="2"/>
      <c r="S136" s="2"/>
    </row>
    <row r="137" spans="1:19" x14ac:dyDescent="0.25">
      <c r="A137" s="3"/>
      <c r="B137" s="3" t="s">
        <v>570</v>
      </c>
      <c r="C137" s="3"/>
      <c r="D137" s="3"/>
      <c r="E137" s="3"/>
      <c r="F137" s="3"/>
      <c r="G137" s="3"/>
      <c r="H137" s="3" t="s">
        <v>571</v>
      </c>
      <c r="I137" s="3"/>
      <c r="J137" s="3" t="s">
        <v>517</v>
      </c>
      <c r="K137" s="3" t="s">
        <v>31</v>
      </c>
      <c r="L137" s="3"/>
      <c r="M137" s="3"/>
      <c r="N137" s="3"/>
      <c r="O137" s="3"/>
      <c r="P137" s="3"/>
      <c r="Q137" s="3"/>
      <c r="R137" s="3"/>
      <c r="S137" s="3"/>
    </row>
    <row r="138" spans="1:19" x14ac:dyDescent="0.25">
      <c r="A138" s="2"/>
      <c r="B138" s="2" t="s">
        <v>572</v>
      </c>
      <c r="C138" s="2"/>
      <c r="D138" s="2"/>
      <c r="E138" s="2"/>
      <c r="F138" s="2"/>
      <c r="G138" s="2"/>
      <c r="H138" s="2" t="s">
        <v>573</v>
      </c>
      <c r="I138" s="2"/>
      <c r="J138" s="2" t="s">
        <v>517</v>
      </c>
      <c r="K138" s="2" t="s">
        <v>31</v>
      </c>
      <c r="L138" s="2"/>
      <c r="M138" s="2"/>
      <c r="N138" s="2"/>
      <c r="O138" s="2"/>
      <c r="P138" s="2"/>
      <c r="Q138" s="2"/>
      <c r="R138" s="2"/>
      <c r="S138" s="2"/>
    </row>
    <row r="139" spans="1:19" x14ac:dyDescent="0.25">
      <c r="A139" s="3"/>
      <c r="B139" s="3" t="s">
        <v>574</v>
      </c>
      <c r="C139" s="3"/>
      <c r="D139" s="3"/>
      <c r="E139" s="3"/>
      <c r="F139" s="3"/>
      <c r="G139" s="3"/>
      <c r="H139" s="3" t="s">
        <v>575</v>
      </c>
      <c r="I139" s="3"/>
      <c r="J139" s="3" t="s">
        <v>517</v>
      </c>
      <c r="K139" s="3" t="s">
        <v>31</v>
      </c>
      <c r="L139" s="3"/>
      <c r="M139" s="3"/>
      <c r="N139" s="3"/>
      <c r="O139" s="3"/>
      <c r="P139" s="3"/>
      <c r="Q139" s="3"/>
      <c r="R139" s="3"/>
      <c r="S139" s="3"/>
    </row>
    <row r="140" spans="1:19" x14ac:dyDescent="0.25">
      <c r="A140" s="2"/>
      <c r="B140" s="2" t="s">
        <v>576</v>
      </c>
      <c r="C140" s="2"/>
      <c r="D140" s="2"/>
      <c r="E140" s="2"/>
      <c r="F140" s="2"/>
      <c r="G140" s="2"/>
      <c r="H140" s="2" t="s">
        <v>577</v>
      </c>
      <c r="I140" s="2"/>
      <c r="J140" s="2" t="s">
        <v>517</v>
      </c>
      <c r="K140" s="2" t="s">
        <v>31</v>
      </c>
      <c r="L140" s="2"/>
      <c r="M140" s="2"/>
      <c r="N140" s="2"/>
      <c r="O140" s="2"/>
      <c r="P140" s="2"/>
      <c r="Q140" s="2"/>
      <c r="R140" s="2"/>
      <c r="S140" s="2"/>
    </row>
    <row r="141" spans="1:19" x14ac:dyDescent="0.25">
      <c r="A141" s="3"/>
      <c r="B141" s="3" t="s">
        <v>578</v>
      </c>
      <c r="C141" s="3"/>
      <c r="D141" s="3"/>
      <c r="E141" s="3"/>
      <c r="F141" s="3"/>
      <c r="G141" s="3"/>
      <c r="H141" s="3" t="s">
        <v>579</v>
      </c>
      <c r="I141" s="3"/>
      <c r="J141" s="3" t="s">
        <v>517</v>
      </c>
      <c r="K141" s="3" t="s">
        <v>31</v>
      </c>
      <c r="L141" s="3"/>
      <c r="M141" s="3"/>
      <c r="N141" s="3"/>
      <c r="O141" s="3"/>
      <c r="P141" s="3"/>
      <c r="Q141" s="3"/>
      <c r="R141" s="3"/>
      <c r="S141" s="3"/>
    </row>
    <row r="142" spans="1:19" x14ac:dyDescent="0.25">
      <c r="A142" s="2"/>
      <c r="B142" s="2" t="s">
        <v>580</v>
      </c>
      <c r="C142" s="2"/>
      <c r="D142" s="2"/>
      <c r="E142" s="2"/>
      <c r="F142" s="2"/>
      <c r="G142" s="2"/>
      <c r="H142" s="2" t="s">
        <v>581</v>
      </c>
      <c r="I142" s="2"/>
      <c r="J142" s="2" t="s">
        <v>517</v>
      </c>
      <c r="K142" s="2" t="s">
        <v>31</v>
      </c>
      <c r="L142" s="2"/>
      <c r="M142" s="2"/>
      <c r="N142" s="2"/>
      <c r="O142" s="2"/>
      <c r="P142" s="2"/>
      <c r="Q142" s="2"/>
      <c r="R142" s="2"/>
      <c r="S142" s="2"/>
    </row>
    <row r="143" spans="1:19" x14ac:dyDescent="0.25">
      <c r="A143" s="3"/>
      <c r="B143" s="3" t="s">
        <v>582</v>
      </c>
      <c r="C143" s="3"/>
      <c r="D143" s="3"/>
      <c r="E143" s="3"/>
      <c r="F143" s="3"/>
      <c r="G143" s="3"/>
      <c r="H143" s="3" t="s">
        <v>583</v>
      </c>
      <c r="I143" s="3"/>
      <c r="J143" s="3" t="s">
        <v>517</v>
      </c>
      <c r="K143" s="3" t="s">
        <v>31</v>
      </c>
      <c r="L143" s="3"/>
      <c r="M143" s="3"/>
      <c r="N143" s="3"/>
      <c r="O143" s="3"/>
      <c r="P143" s="3"/>
      <c r="Q143" s="3"/>
      <c r="R143" s="3"/>
      <c r="S143" s="3"/>
    </row>
    <row r="144" spans="1:19" x14ac:dyDescent="0.25">
      <c r="A144" s="2"/>
      <c r="B144" s="2" t="s">
        <v>584</v>
      </c>
      <c r="C144" s="2"/>
      <c r="D144" s="2"/>
      <c r="E144" s="2"/>
      <c r="F144" s="2"/>
      <c r="G144" s="2"/>
      <c r="H144" s="2" t="s">
        <v>585</v>
      </c>
      <c r="I144" s="2"/>
      <c r="J144" s="2" t="s">
        <v>517</v>
      </c>
      <c r="K144" s="2" t="s">
        <v>31</v>
      </c>
      <c r="L144" s="2"/>
      <c r="M144" s="2"/>
      <c r="N144" s="2"/>
      <c r="O144" s="2"/>
      <c r="P144" s="2"/>
      <c r="Q144" s="2"/>
      <c r="R144" s="2"/>
      <c r="S144" s="2"/>
    </row>
    <row r="145" spans="1:19" x14ac:dyDescent="0.25">
      <c r="A145" s="3"/>
      <c r="B145" s="3" t="s">
        <v>586</v>
      </c>
      <c r="C145" s="3"/>
      <c r="D145" s="3"/>
      <c r="E145" s="3"/>
      <c r="F145" s="3"/>
      <c r="G145" s="3"/>
      <c r="H145" s="3" t="s">
        <v>587</v>
      </c>
      <c r="I145" s="3"/>
      <c r="J145" s="3" t="s">
        <v>517</v>
      </c>
      <c r="K145" s="3" t="s">
        <v>31</v>
      </c>
      <c r="L145" s="3"/>
      <c r="M145" s="3"/>
      <c r="N145" s="3"/>
      <c r="O145" s="3"/>
      <c r="P145" s="3"/>
      <c r="Q145" s="3"/>
      <c r="R145" s="3"/>
      <c r="S145" s="3"/>
    </row>
    <row r="146" spans="1:19" x14ac:dyDescent="0.25">
      <c r="A146" s="2"/>
      <c r="B146" s="2" t="s">
        <v>588</v>
      </c>
      <c r="C146" s="2"/>
      <c r="D146" s="2"/>
      <c r="E146" s="2"/>
      <c r="F146" s="2"/>
      <c r="G146" s="2"/>
      <c r="H146" s="2" t="s">
        <v>589</v>
      </c>
      <c r="I146" s="2"/>
      <c r="J146" s="2" t="s">
        <v>517</v>
      </c>
      <c r="K146" s="2" t="s">
        <v>31</v>
      </c>
      <c r="L146" s="2"/>
      <c r="M146" s="2"/>
      <c r="N146" s="2"/>
      <c r="O146" s="2"/>
      <c r="P146" s="2"/>
      <c r="Q146" s="2"/>
      <c r="R146" s="2"/>
      <c r="S146" s="2"/>
    </row>
    <row r="147" spans="1:19" x14ac:dyDescent="0.25">
      <c r="A147" s="3"/>
      <c r="B147" s="3" t="s">
        <v>590</v>
      </c>
      <c r="C147" s="3"/>
      <c r="D147" s="3"/>
      <c r="E147" s="3"/>
      <c r="F147" s="3"/>
      <c r="G147" s="3"/>
      <c r="H147" s="3" t="s">
        <v>591</v>
      </c>
      <c r="I147" s="3"/>
      <c r="J147" s="3" t="s">
        <v>517</v>
      </c>
      <c r="K147" s="3" t="s">
        <v>31</v>
      </c>
      <c r="L147" s="3"/>
      <c r="M147" s="3"/>
      <c r="N147" s="3"/>
      <c r="O147" s="3"/>
      <c r="P147" s="3"/>
      <c r="Q147" s="3"/>
      <c r="R147" s="3"/>
      <c r="S147" s="3"/>
    </row>
  </sheetData>
  <autoFilter ref="A1:S147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D28"/>
  <sheetViews>
    <sheetView workbookViewId="0" zoomScale="100" zoomScaleNormal="100">
      <selection activeCell="A1" sqref="A1"/>
    </sheetView>
  </sheetViews>
  <sheetFormatPr defaultRowHeight="15" outlineLevelRow="0" outlineLevelCol="0" x14ac:dyDescent="0"/>
  <cols>
    <col min="1" max="1" width="35" customWidth="1"/>
    <col min="2" max="2" width="15" customWidth="1"/>
  </cols>
  <sheetData>
    <row r="1" spans="1:4" x14ac:dyDescent="0.25">
      <c r="A1" s="4" t="s">
        <v>592</v>
      </c>
      <c r="B1" s="4"/>
      <c r="C1" s="4"/>
      <c r="D1" s="4"/>
    </row>
    <row r="2" spans="1:2" x14ac:dyDescent="0.25">
      <c r="A2" s="5" t="s">
        <v>593</v>
      </c>
      <c r="B2" t="s">
        <v>594</v>
      </c>
    </row>
    <row r="3" spans="1:1" x14ac:dyDescent="0.25">
      <c r="A3" s="5"/>
    </row>
    <row r="4" spans="1:4" x14ac:dyDescent="0.25">
      <c r="A4" s="4" t="s">
        <v>595</v>
      </c>
      <c r="B4" s="4"/>
      <c r="C4" s="4"/>
      <c r="D4" s="4"/>
    </row>
    <row r="5" spans="1:2" x14ac:dyDescent="0.25">
      <c r="A5" s="5" t="s">
        <v>596</v>
      </c>
      <c r="B5" s="6">
        <v>146</v>
      </c>
    </row>
    <row r="6" spans="1:2" x14ac:dyDescent="0.25">
      <c r="A6" s="5" t="s">
        <v>26</v>
      </c>
      <c r="B6" s="6">
        <v>45</v>
      </c>
    </row>
    <row r="7" spans="1:2" x14ac:dyDescent="0.25">
      <c r="A7" s="5" t="s">
        <v>245</v>
      </c>
      <c r="B7" s="6">
        <v>12</v>
      </c>
    </row>
    <row r="8" spans="1:2" x14ac:dyDescent="0.25">
      <c r="A8" s="5" t="s">
        <v>597</v>
      </c>
      <c r="B8" s="6">
        <v>89</v>
      </c>
    </row>
    <row r="9" spans="1:1" x14ac:dyDescent="0.25">
      <c r="A9" s="5"/>
    </row>
    <row r="10" spans="1:4" x14ac:dyDescent="0.25">
      <c r="A10" s="4" t="s">
        <v>598</v>
      </c>
      <c r="B10" s="4"/>
      <c r="C10" s="4"/>
      <c r="D10" s="4"/>
    </row>
    <row r="11" spans="1:2" x14ac:dyDescent="0.25">
      <c r="A11" s="5" t="s">
        <v>599</v>
      </c>
      <c r="B11" s="6">
        <v>40</v>
      </c>
    </row>
    <row r="12" spans="1:2" x14ac:dyDescent="0.25">
      <c r="A12" s="5" t="s">
        <v>62</v>
      </c>
      <c r="B12" s="6">
        <v>24</v>
      </c>
    </row>
    <row r="13" spans="1:2" x14ac:dyDescent="0.25">
      <c r="A13" s="5" t="s">
        <v>600</v>
      </c>
      <c r="B13" s="6">
        <v>5</v>
      </c>
    </row>
    <row r="14" spans="1:2" x14ac:dyDescent="0.25">
      <c r="A14" s="5" t="s">
        <v>601</v>
      </c>
      <c r="B14" s="6">
        <v>77</v>
      </c>
    </row>
    <row r="15" spans="1:1" x14ac:dyDescent="0.25">
      <c r="A15" s="5"/>
    </row>
    <row r="16" spans="1:4" x14ac:dyDescent="0.25">
      <c r="A16" s="4" t="s">
        <v>602</v>
      </c>
      <c r="B16" s="4"/>
      <c r="C16" s="4"/>
      <c r="D16" s="4"/>
    </row>
    <row r="17" spans="1:2" x14ac:dyDescent="0.25">
      <c r="A17" s="5" t="s">
        <v>31</v>
      </c>
      <c r="B17">
        <f>COUNTIF(Pipeline!K:K,"Ausstehend")</f>
      </c>
    </row>
    <row r="18" spans="1:2" x14ac:dyDescent="0.25">
      <c r="A18" s="5" t="s">
        <v>603</v>
      </c>
      <c r="B18">
        <f>COUNTIF(Pipeline!K:K,"Gesendet")</f>
      </c>
    </row>
    <row r="19" spans="1:2" x14ac:dyDescent="0.25">
      <c r="A19" s="5" t="s">
        <v>14</v>
      </c>
      <c r="B19">
        <f>COUNTIF(Pipeline!K:K,"Follow_Up_1")</f>
      </c>
    </row>
    <row r="20" spans="1:2" x14ac:dyDescent="0.25">
      <c r="A20" s="5" t="s">
        <v>15</v>
      </c>
      <c r="B20">
        <f>COUNTIF(Pipeline!K:K,"Follow_Up_2")</f>
      </c>
    </row>
    <row r="21" spans="1:2" x14ac:dyDescent="0.25">
      <c r="A21" s="5" t="s">
        <v>604</v>
      </c>
      <c r="B21">
        <f>COUNTIF(Pipeline!K:K,"Antwort_Erhalten")</f>
      </c>
    </row>
    <row r="22" spans="1:2" x14ac:dyDescent="0.25">
      <c r="A22" s="5" t="s">
        <v>605</v>
      </c>
      <c r="B22">
        <f>COUNTIF(Pipeline!K:K,"Interesse_Spaeter")</f>
      </c>
    </row>
    <row r="23" spans="1:2" x14ac:dyDescent="0.25">
      <c r="A23" s="5" t="s">
        <v>606</v>
      </c>
      <c r="B23">
        <f>COUNTIF(Pipeline!K:K,"Gespraech_Geplant")</f>
      </c>
    </row>
    <row r="24" spans="1:2" x14ac:dyDescent="0.25">
      <c r="A24" s="5" t="s">
        <v>607</v>
      </c>
      <c r="B24">
        <f>COUNTIF(Pipeline!K:K,"Angebot_Gesendet")</f>
      </c>
    </row>
    <row r="25" spans="1:4" x14ac:dyDescent="0.25">
      <c r="A25" s="4" t="s">
        <v>608</v>
      </c>
      <c r="B25" s="4">
        <f>COUNTIF(Pipeline!K:K,"Gebucht")</f>
      </c>
      <c r="C25" s="4"/>
      <c r="D25" s="4"/>
    </row>
    <row r="26" spans="1:2" x14ac:dyDescent="0.25">
      <c r="A26" s="5" t="s">
        <v>609</v>
      </c>
      <c r="B26">
        <f>COUNTIF(Pipeline!K:K,"Abgeschlossen")</f>
      </c>
    </row>
    <row r="27" spans="1:3" x14ac:dyDescent="0.25">
      <c r="A27" s="5" t="s">
        <v>610</v>
      </c>
      <c r="B27" s="6">
        <f>COUNTIF(Pipeline!K:K,"Kalt")</f>
      </c>
      <c r="C27" t="s">
        <v>611</v>
      </c>
    </row>
    <row r="28" spans="1:3" x14ac:dyDescent="0.25">
      <c r="A28" s="5" t="s">
        <v>612</v>
      </c>
      <c r="B28">
        <f>COUNTIF(Pipeline!K:K,"Nicht_Interessiert")+COUNTIF(Pipeline!K:K,"Partnerschaft_Aktiv")</f>
      </c>
      <c r="C28" t="s">
        <v>611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G11"/>
  <sheetViews>
    <sheetView workbookViewId="0" zoomScale="100" zoomScaleNormal="100">
      <pane ySplit="1" topLeftCell="A2" activePane="bottomLeft" state="frozen"/>
      <selection pane="bottomLeft" activeCell="A1" sqref="A1"/>
    </sheetView>
  </sheetViews>
  <sheetFormatPr defaultRowHeight="15" outlineLevelRow="0" outlineLevelCol="0" x14ac:dyDescent="0"/>
  <cols>
    <col min="1" max="1" width="4" customWidth="1"/>
    <col min="2" max="2" width="30" customWidth="1"/>
    <col min="3" max="3" width="38" customWidth="1"/>
    <col min="4" max="4" width="45" customWidth="1"/>
    <col min="5" max="5" width="14" customWidth="1"/>
    <col min="6" max="7" width="12" customWidth="1"/>
  </cols>
  <sheetData>
    <row r="1" spans="1:7" x14ac:dyDescent="0.25">
      <c r="A1" s="7" t="s">
        <v>613</v>
      </c>
      <c r="B1" s="7" t="s">
        <v>0</v>
      </c>
      <c r="C1" s="7" t="s">
        <v>1</v>
      </c>
      <c r="D1" s="7" t="s">
        <v>614</v>
      </c>
      <c r="E1" s="7" t="s">
        <v>10</v>
      </c>
      <c r="F1" s="7" t="s">
        <v>603</v>
      </c>
      <c r="G1" s="7" t="s">
        <v>12</v>
      </c>
    </row>
    <row r="2" spans="1:7" x14ac:dyDescent="0.25">
      <c r="A2" s="8">
        <v>1</v>
      </c>
      <c r="B2" s="8" t="s">
        <v>188</v>
      </c>
      <c r="C2" s="8" t="s">
        <v>189</v>
      </c>
      <c r="D2" s="8" t="s">
        <v>615</v>
      </c>
      <c r="E2" s="8" t="s">
        <v>31</v>
      </c>
      <c r="F2" s="8"/>
      <c r="G2" s="8"/>
    </row>
    <row r="3" spans="1:7" x14ac:dyDescent="0.25">
      <c r="A3" s="3">
        <v>2</v>
      </c>
      <c r="B3" s="3" t="s">
        <v>194</v>
      </c>
      <c r="C3" s="3" t="s">
        <v>195</v>
      </c>
      <c r="D3" s="3" t="s">
        <v>616</v>
      </c>
      <c r="E3" s="3" t="s">
        <v>31</v>
      </c>
      <c r="F3" s="3"/>
      <c r="G3" s="3"/>
    </row>
    <row r="4" spans="1:7" x14ac:dyDescent="0.25">
      <c r="A4" s="8">
        <v>3</v>
      </c>
      <c r="B4" s="8" t="s">
        <v>206</v>
      </c>
      <c r="C4" s="8" t="s">
        <v>207</v>
      </c>
      <c r="D4" s="8" t="s">
        <v>617</v>
      </c>
      <c r="E4" s="8" t="s">
        <v>31</v>
      </c>
      <c r="F4" s="8"/>
      <c r="G4" s="8"/>
    </row>
    <row r="5" spans="1:7" x14ac:dyDescent="0.25">
      <c r="A5" s="3">
        <v>4</v>
      </c>
      <c r="B5" s="3" t="s">
        <v>618</v>
      </c>
      <c r="C5" s="3" t="s">
        <v>233</v>
      </c>
      <c r="D5" s="3" t="s">
        <v>619</v>
      </c>
      <c r="E5" s="3" t="s">
        <v>31</v>
      </c>
      <c r="F5" s="3"/>
      <c r="G5" s="3"/>
    </row>
    <row r="6" spans="1:7" x14ac:dyDescent="0.25">
      <c r="A6" s="8">
        <v>5</v>
      </c>
      <c r="B6" s="8" t="s">
        <v>202</v>
      </c>
      <c r="C6" s="8" t="s">
        <v>203</v>
      </c>
      <c r="D6" s="8" t="s">
        <v>620</v>
      </c>
      <c r="E6" s="8" t="s">
        <v>31</v>
      </c>
      <c r="F6" s="8"/>
      <c r="G6" s="8"/>
    </row>
    <row r="7" spans="1:7" x14ac:dyDescent="0.25">
      <c r="A7" s="3">
        <v>6</v>
      </c>
      <c r="B7" s="3" t="s">
        <v>198</v>
      </c>
      <c r="C7" s="3" t="s">
        <v>199</v>
      </c>
      <c r="D7" s="3" t="s">
        <v>621</v>
      </c>
      <c r="E7" s="3" t="s">
        <v>31</v>
      </c>
      <c r="F7" s="3"/>
      <c r="G7" s="3"/>
    </row>
    <row r="8" spans="1:7" x14ac:dyDescent="0.25">
      <c r="A8" s="8">
        <v>7</v>
      </c>
      <c r="B8" s="8" t="s">
        <v>177</v>
      </c>
      <c r="C8" s="8" t="s">
        <v>178</v>
      </c>
      <c r="D8" s="8" t="s">
        <v>622</v>
      </c>
      <c r="E8" s="8" t="s">
        <v>31</v>
      </c>
      <c r="F8" s="8"/>
      <c r="G8" s="8"/>
    </row>
    <row r="9" spans="1:7" x14ac:dyDescent="0.25">
      <c r="A9" s="3">
        <v>8</v>
      </c>
      <c r="B9" s="3" t="s">
        <v>174</v>
      </c>
      <c r="C9" s="3" t="s">
        <v>175</v>
      </c>
      <c r="D9" s="3" t="s">
        <v>623</v>
      </c>
      <c r="E9" s="3" t="s">
        <v>31</v>
      </c>
      <c r="F9" s="3"/>
      <c r="G9" s="3"/>
    </row>
    <row r="10" spans="1:7" x14ac:dyDescent="0.25">
      <c r="A10" s="8">
        <v>9</v>
      </c>
      <c r="B10" s="8" t="s">
        <v>624</v>
      </c>
      <c r="C10" s="8" t="s">
        <v>127</v>
      </c>
      <c r="D10" s="8" t="s">
        <v>625</v>
      </c>
      <c r="E10" s="8" t="s">
        <v>31</v>
      </c>
      <c r="F10" s="8"/>
      <c r="G10" s="8"/>
    </row>
    <row r="11" spans="1:7" x14ac:dyDescent="0.25">
      <c r="A11" s="3">
        <v>10</v>
      </c>
      <c r="B11" s="3" t="s">
        <v>239</v>
      </c>
      <c r="C11" s="3" t="s">
        <v>240</v>
      </c>
      <c r="D11" s="3" t="s">
        <v>626</v>
      </c>
      <c r="E11" s="3" t="s">
        <v>31</v>
      </c>
      <c r="F11" s="3"/>
      <c r="G11" s="3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C14"/>
  <sheetViews>
    <sheetView workbookViewId="0" zoomScale="100" zoomScaleNormal="100">
      <selection activeCell="A1" sqref="A1"/>
    </sheetView>
  </sheetViews>
  <sheetFormatPr defaultRowHeight="15" outlineLevelRow="0" outlineLevelCol="0" x14ac:dyDescent="0"/>
  <cols>
    <col min="1" max="1" width="16" customWidth="1"/>
    <col min="2" max="2" width="35" customWidth="1"/>
    <col min="3" max="3" width="40" customWidth="1"/>
  </cols>
  <sheetData>
    <row r="1" spans="1:3" x14ac:dyDescent="0.25">
      <c r="A1" s="9" t="s">
        <v>627</v>
      </c>
      <c r="B1" s="9" t="s">
        <v>628</v>
      </c>
      <c r="C1" s="9" t="s">
        <v>629</v>
      </c>
    </row>
    <row r="2" spans="1:3" x14ac:dyDescent="0.25">
      <c r="A2" s="10" t="s">
        <v>31</v>
      </c>
      <c r="B2" s="10" t="s">
        <v>630</v>
      </c>
      <c r="C2" s="10" t="s">
        <v>631</v>
      </c>
    </row>
    <row r="3" spans="1:3" x14ac:dyDescent="0.25">
      <c r="A3" s="10" t="s">
        <v>603</v>
      </c>
      <c r="B3" s="10" t="s">
        <v>632</v>
      </c>
      <c r="C3" s="10" t="s">
        <v>633</v>
      </c>
    </row>
    <row r="4" spans="1:3" x14ac:dyDescent="0.25">
      <c r="A4" s="10" t="s">
        <v>14</v>
      </c>
      <c r="B4" s="10" t="s">
        <v>634</v>
      </c>
      <c r="C4" s="10" t="s">
        <v>635</v>
      </c>
    </row>
    <row r="5" spans="1:3" x14ac:dyDescent="0.25">
      <c r="A5" s="10" t="s">
        <v>15</v>
      </c>
      <c r="B5" s="10" t="s">
        <v>636</v>
      </c>
      <c r="C5" s="10" t="s">
        <v>637</v>
      </c>
    </row>
    <row r="6" spans="1:3" x14ac:dyDescent="0.25">
      <c r="A6" s="10" t="s">
        <v>604</v>
      </c>
      <c r="B6" s="10" t="s">
        <v>638</v>
      </c>
      <c r="C6" s="10" t="s">
        <v>639</v>
      </c>
    </row>
    <row r="7" spans="1:3" x14ac:dyDescent="0.25">
      <c r="A7" s="10" t="s">
        <v>605</v>
      </c>
      <c r="B7" s="10" t="s">
        <v>640</v>
      </c>
      <c r="C7" s="10" t="s">
        <v>641</v>
      </c>
    </row>
    <row r="8" spans="1:3" x14ac:dyDescent="0.25">
      <c r="A8" s="10" t="s">
        <v>606</v>
      </c>
      <c r="B8" s="10" t="s">
        <v>642</v>
      </c>
      <c r="C8" s="10" t="s">
        <v>643</v>
      </c>
    </row>
    <row r="9" spans="1:3" x14ac:dyDescent="0.25">
      <c r="A9" s="10" t="s">
        <v>607</v>
      </c>
      <c r="B9" s="10" t="s">
        <v>644</v>
      </c>
      <c r="C9" s="10" t="s">
        <v>645</v>
      </c>
    </row>
    <row r="10" spans="1:3" x14ac:dyDescent="0.25">
      <c r="A10" t="s">
        <v>608</v>
      </c>
      <c r="B10" t="s">
        <v>646</v>
      </c>
      <c r="C10" t="s">
        <v>647</v>
      </c>
    </row>
    <row r="11" spans="1:3" x14ac:dyDescent="0.25">
      <c r="A11" t="s">
        <v>609</v>
      </c>
      <c r="B11" t="s">
        <v>648</v>
      </c>
      <c r="C11" t="s">
        <v>649</v>
      </c>
    </row>
    <row r="12" spans="1:3" x14ac:dyDescent="0.25">
      <c r="A12" t="s">
        <v>610</v>
      </c>
      <c r="B12" t="s">
        <v>650</v>
      </c>
      <c r="C12" t="s">
        <v>651</v>
      </c>
    </row>
    <row r="13" spans="1:3" x14ac:dyDescent="0.25">
      <c r="A13" t="s">
        <v>652</v>
      </c>
      <c r="B13" t="s">
        <v>653</v>
      </c>
      <c r="C13" t="s">
        <v>654</v>
      </c>
    </row>
    <row r="14" spans="1:3" x14ac:dyDescent="0.25">
      <c r="A14" t="s">
        <v>655</v>
      </c>
      <c r="B14" t="s">
        <v>656</v>
      </c>
      <c r="C14" t="s">
        <v>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Pipeline</vt:lpstr>
      <vt:lpstr>Dashboard</vt:lpstr>
      <vt:lpstr>Top 10 Sofort</vt:lpstr>
      <vt:lpstr>Legende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Unknown</cp:lastModifiedBy>
  <dcterms:created xsi:type="dcterms:W3CDTF">2026-02-09T08:47:02Z</dcterms:created>
  <dcterms:modified xsi:type="dcterms:W3CDTF">2026-02-09T08:50:51Z</dcterms:modified>
</cp:coreProperties>
</file>